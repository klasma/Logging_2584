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45572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45572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45572</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38281-2020</t>
        </is>
      </c>
      <c r="B5" s="1" t="n">
        <v>44060</v>
      </c>
      <c r="C5" s="1" t="n">
        <v>45572</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45572</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18726-2024</t>
        </is>
      </c>
      <c r="B7" s="1" t="n">
        <v>45426</v>
      </c>
      <c r="C7" s="1" t="n">
        <v>45572</v>
      </c>
      <c r="D7" t="inlineStr">
        <is>
          <t>NORRBOTTENS LÄN</t>
        </is>
      </c>
      <c r="E7" t="inlineStr">
        <is>
          <t>KIRUNA</t>
        </is>
      </c>
      <c r="F7" t="inlineStr">
        <is>
          <t>Allmännings- och besparingsskogar</t>
        </is>
      </c>
      <c r="G7" t="n">
        <v>4.9</v>
      </c>
      <c r="H7" t="n">
        <v>0</v>
      </c>
      <c r="I7" t="n">
        <v>1</v>
      </c>
      <c r="J7" t="n">
        <v>6</v>
      </c>
      <c r="K7" t="n">
        <v>6</v>
      </c>
      <c r="L7" t="n">
        <v>0</v>
      </c>
      <c r="M7" t="n">
        <v>0</v>
      </c>
      <c r="N7" t="n">
        <v>0</v>
      </c>
      <c r="O7" t="n">
        <v>12</v>
      </c>
      <c r="P7" t="n">
        <v>6</v>
      </c>
      <c r="Q7" t="n">
        <v>13</v>
      </c>
      <c r="R7" s="2" t="inlineStr">
        <is>
          <t>Fläckporing
Goliatmusseron
Gräddporing
Smalfotad taggsvamp
Tajgataggsvamp
Tallgråticka
Blå taggsvamp
Orange taggsvamp
Skrovlig taggsvamp
Svartvit taggsvamp
Talltaggsvamp
Vaddporing
Dropptaggsvamp</t>
        </is>
      </c>
      <c r="S7">
        <f>HYPERLINK("https://klasma.github.io/Logging_2584/artfynd/A 18726-2024 artfynd.xlsx", "A 18726-2024")</f>
        <v/>
      </c>
      <c r="T7">
        <f>HYPERLINK("https://klasma.github.io/Logging_2584/kartor/A 18726-2024 karta.png", "A 18726-2024")</f>
        <v/>
      </c>
      <c r="V7">
        <f>HYPERLINK("https://klasma.github.io/Logging_2584/klagomål/A 18726-2024 FSC-klagomål.docx", "A 18726-2024")</f>
        <v/>
      </c>
      <c r="W7">
        <f>HYPERLINK("https://klasma.github.io/Logging_2584/klagomålsmail/A 18726-2024 FSC-klagomål mail.docx", "A 18726-2024")</f>
        <v/>
      </c>
      <c r="X7">
        <f>HYPERLINK("https://klasma.github.io/Logging_2584/tillsyn/A 18726-2024 tillsynsbegäran.docx", "A 18726-2024")</f>
        <v/>
      </c>
      <c r="Y7">
        <f>HYPERLINK("https://klasma.github.io/Logging_2584/tillsynsmail/A 18726-2024 tillsynsbegäran mail.docx", "A 18726-2024")</f>
        <v/>
      </c>
    </row>
    <row r="8" ht="15" customHeight="1">
      <c r="A8" t="inlineStr">
        <is>
          <t>A 38722-2020</t>
        </is>
      </c>
      <c r="B8" s="1" t="n">
        <v>44061</v>
      </c>
      <c r="C8" s="1" t="n">
        <v>45572</v>
      </c>
      <c r="D8" t="inlineStr">
        <is>
          <t>NORRBOTTENS LÄN</t>
        </is>
      </c>
      <c r="E8" t="inlineStr">
        <is>
          <t>KIRUNA</t>
        </is>
      </c>
      <c r="G8" t="n">
        <v>43.4</v>
      </c>
      <c r="H8" t="n">
        <v>1</v>
      </c>
      <c r="I8" t="n">
        <v>2</v>
      </c>
      <c r="J8" t="n">
        <v>7</v>
      </c>
      <c r="K8" t="n">
        <v>1</v>
      </c>
      <c r="L8" t="n">
        <v>0</v>
      </c>
      <c r="M8" t="n">
        <v>0</v>
      </c>
      <c r="N8" t="n">
        <v>0</v>
      </c>
      <c r="O8" t="n">
        <v>8</v>
      </c>
      <c r="P8" t="n">
        <v>1</v>
      </c>
      <c r="Q8" t="n">
        <v>10</v>
      </c>
      <c r="R8" s="2" t="inlineStr">
        <is>
          <t>Fläckporing
Blanksvart spiklav
Blå taggsvamp
Dvärgbägarlav
Orange taggsvamp
Skrovlig taggsvamp
Vedskivlav
Vitplätt
Dropptaggsvamp
Plattlummer</t>
        </is>
      </c>
      <c r="S8">
        <f>HYPERLINK("https://klasma.github.io/Logging_2584/artfynd/A 38722-2020 artfynd.xlsx", "A 38722-2020")</f>
        <v/>
      </c>
      <c r="T8">
        <f>HYPERLINK("https://klasma.github.io/Logging_2584/kartor/A 38722-2020 karta.png", "A 38722-2020")</f>
        <v/>
      </c>
      <c r="V8">
        <f>HYPERLINK("https://klasma.github.io/Logging_2584/klagomål/A 38722-2020 FSC-klagomål.docx", "A 38722-2020")</f>
        <v/>
      </c>
      <c r="W8">
        <f>HYPERLINK("https://klasma.github.io/Logging_2584/klagomålsmail/A 38722-2020 FSC-klagomål mail.docx", "A 38722-2020")</f>
        <v/>
      </c>
      <c r="X8">
        <f>HYPERLINK("https://klasma.github.io/Logging_2584/tillsyn/A 38722-2020 tillsynsbegäran.docx", "A 38722-2020")</f>
        <v/>
      </c>
      <c r="Y8">
        <f>HYPERLINK("https://klasma.github.io/Logging_2584/tillsynsmail/A 38722-2020 tillsynsbegäran mail.docx", "A 38722-2020")</f>
        <v/>
      </c>
    </row>
    <row r="9" ht="15" customHeight="1">
      <c r="A9" t="inlineStr">
        <is>
          <t>A 41920-2019</t>
        </is>
      </c>
      <c r="B9" s="1" t="n">
        <v>43700</v>
      </c>
      <c r="C9" s="1" t="n">
        <v>45572</v>
      </c>
      <c r="D9" t="inlineStr">
        <is>
          <t>NORRBOTTENS LÄN</t>
        </is>
      </c>
      <c r="E9" t="inlineStr">
        <is>
          <t>KIRUNA</t>
        </is>
      </c>
      <c r="G9" t="n">
        <v>200.7</v>
      </c>
      <c r="H9" t="n">
        <v>2</v>
      </c>
      <c r="I9" t="n">
        <v>0</v>
      </c>
      <c r="J9" t="n">
        <v>8</v>
      </c>
      <c r="K9" t="n">
        <v>1</v>
      </c>
      <c r="L9" t="n">
        <v>0</v>
      </c>
      <c r="M9" t="n">
        <v>0</v>
      </c>
      <c r="N9" t="n">
        <v>0</v>
      </c>
      <c r="O9" t="n">
        <v>9</v>
      </c>
      <c r="P9" t="n">
        <v>1</v>
      </c>
      <c r="Q9" t="n">
        <v>9</v>
      </c>
      <c r="R9" s="2" t="inlineStr">
        <is>
          <t>Mörk blåslav
Fjällvråk
Granticka
Harticka
Knottrig blåslav
Rosenticka
Tretåig hackspett
Ullticka
Violmussling</t>
        </is>
      </c>
      <c r="S9">
        <f>HYPERLINK("https://klasma.github.io/Logging_2584/artfynd/A 41920-2019 artfynd.xlsx", "A 41920-2019")</f>
        <v/>
      </c>
      <c r="T9">
        <f>HYPERLINK("https://klasma.github.io/Logging_2584/kartor/A 41920-2019 karta.png", "A 41920-2019")</f>
        <v/>
      </c>
      <c r="V9">
        <f>HYPERLINK("https://klasma.github.io/Logging_2584/klagomål/A 41920-2019 FSC-klagomål.docx", "A 41920-2019")</f>
        <v/>
      </c>
      <c r="W9">
        <f>HYPERLINK("https://klasma.github.io/Logging_2584/klagomålsmail/A 41920-2019 FSC-klagomål mail.docx", "A 41920-2019")</f>
        <v/>
      </c>
      <c r="X9">
        <f>HYPERLINK("https://klasma.github.io/Logging_2584/tillsyn/A 41920-2019 tillsynsbegäran.docx", "A 41920-2019")</f>
        <v/>
      </c>
      <c r="Y9">
        <f>HYPERLINK("https://klasma.github.io/Logging_2584/tillsynsmail/A 41920-2019 tillsynsbegäran mail.docx", "A 41920-2019")</f>
        <v/>
      </c>
      <c r="Z9">
        <f>HYPERLINK("https://klasma.github.io/Logging_2584/fåglar/A 41920-2019 prioriterade fågelarter.docx", "A 41920-2019")</f>
        <v/>
      </c>
    </row>
    <row r="10" ht="15" customHeight="1">
      <c r="A10" t="inlineStr">
        <is>
          <t>A 42495-2024</t>
        </is>
      </c>
      <c r="B10" s="1" t="n">
        <v>45565</v>
      </c>
      <c r="C10" s="1" t="n">
        <v>45572</v>
      </c>
      <c r="D10" t="inlineStr">
        <is>
          <t>NORRBOTTENS LÄN</t>
        </is>
      </c>
      <c r="E10" t="inlineStr">
        <is>
          <t>KIRUNA</t>
        </is>
      </c>
      <c r="G10" t="n">
        <v>14.8</v>
      </c>
      <c r="H10" t="n">
        <v>4</v>
      </c>
      <c r="I10" t="n">
        <v>1</v>
      </c>
      <c r="J10" t="n">
        <v>4</v>
      </c>
      <c r="K10" t="n">
        <v>2</v>
      </c>
      <c r="L10" t="n">
        <v>0</v>
      </c>
      <c r="M10" t="n">
        <v>0</v>
      </c>
      <c r="N10" t="n">
        <v>0</v>
      </c>
      <c r="O10" t="n">
        <v>6</v>
      </c>
      <c r="P10" t="n">
        <v>2</v>
      </c>
      <c r="Q10" t="n">
        <v>8</v>
      </c>
      <c r="R10" s="2" t="inlineStr">
        <is>
          <t>Ostticka
Tallbit
Garnlav
Granticka
Talltita
Tretåig hackspett
Blodticka
Lavskrika</t>
        </is>
      </c>
      <c r="S10">
        <f>HYPERLINK("https://klasma.github.io/Logging_2584/artfynd/A 42495-2024 artfynd.xlsx", "A 42495-2024")</f>
        <v/>
      </c>
      <c r="T10">
        <f>HYPERLINK("https://klasma.github.io/Logging_2584/kartor/A 42495-2024 karta.png", "A 42495-2024")</f>
        <v/>
      </c>
      <c r="V10">
        <f>HYPERLINK("https://klasma.github.io/Logging_2584/klagomål/A 42495-2024 FSC-klagomål.docx", "A 42495-2024")</f>
        <v/>
      </c>
      <c r="W10">
        <f>HYPERLINK("https://klasma.github.io/Logging_2584/klagomålsmail/A 42495-2024 FSC-klagomål mail.docx", "A 42495-2024")</f>
        <v/>
      </c>
      <c r="X10">
        <f>HYPERLINK("https://klasma.github.io/Logging_2584/tillsyn/A 42495-2024 tillsynsbegäran.docx", "A 42495-2024")</f>
        <v/>
      </c>
      <c r="Y10">
        <f>HYPERLINK("https://klasma.github.io/Logging_2584/tillsynsmail/A 42495-2024 tillsynsbegäran mail.docx", "A 42495-2024")</f>
        <v/>
      </c>
      <c r="Z10">
        <f>HYPERLINK("https://klasma.github.io/Logging_2584/fåglar/A 42495-2024 prioriterade fågelarter.docx", "A 42495-2024")</f>
        <v/>
      </c>
    </row>
    <row r="11" ht="15" customHeight="1">
      <c r="A11" t="inlineStr">
        <is>
          <t>A 52664-2019</t>
        </is>
      </c>
      <c r="B11" s="1" t="n">
        <v>43738</v>
      </c>
      <c r="C11" s="1" t="n">
        <v>45572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45572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45572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45572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45572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45572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45572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45572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45572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45572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45572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45572</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45572</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45572</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45572</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45572</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45572</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45572</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45572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45572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45572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45572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45572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45572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45572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45572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45572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45572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45572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45572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45572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45572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45572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45572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45572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45572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45572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45572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45572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45572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45572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45572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45572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45572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45572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45572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45572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45572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45572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45572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45572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45572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45572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45572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45572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45572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45572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45572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45572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45572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45572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45572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45572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45572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45572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45572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45572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45572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45572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45572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45572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45572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45572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45572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45572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45572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45572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45572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45572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45572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45572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45572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45572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45572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45572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45572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45572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45572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45572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45572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45572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45572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45572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45572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45572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45572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45572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45572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45572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45572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45572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45572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45572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45572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45572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45572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2024-10-07T12:48:52Z</dcterms:created>
  <dcterms:modified xmlns:dcterms="http://purl.org/dc/terms/" xmlns:xsi="http://www.w3.org/2001/XMLSchema-instance" xsi:type="dcterms:W3CDTF">2024-10-07T12:48:52Z</dcterms:modified>
</cp:coreProperties>
</file>