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46272</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46272</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46272</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46272</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46272</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46272</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46272</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46272</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46272</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46272</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46272</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46272</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46272</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46272</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46272</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46272</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46272</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46272</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46272</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46272</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60064-2023</t>
        </is>
      </c>
      <c r="B23" t="inlineStr">
        <is>
          <t>avverkningsanmälan</t>
        </is>
      </c>
      <c r="C23" t="inlineStr">
        <is>
          <t>Föryngringsavverkning</t>
        </is>
      </c>
      <c r="D23" s="1" t="n">
        <v>45258</v>
      </c>
      <c r="E23" s="1" t="n">
        <v>46272</v>
      </c>
      <c r="F23" t="inlineStr">
        <is>
          <t>NORRBOTTENS LÄN</t>
        </is>
      </c>
      <c r="G23" t="inlineStr">
        <is>
          <t>KIRUNA</t>
        </is>
      </c>
      <c r="I23" t="n">
        <v>19.8</v>
      </c>
      <c r="J23" t="n">
        <v>1</v>
      </c>
      <c r="K23" t="n">
        <v>0</v>
      </c>
      <c r="L23" t="n">
        <v>0</v>
      </c>
      <c r="M23" t="n">
        <v>0</v>
      </c>
      <c r="N23" t="n">
        <v>0</v>
      </c>
      <c r="O23" t="n">
        <v>0</v>
      </c>
      <c r="P23" t="n">
        <v>0</v>
      </c>
      <c r="Q23" t="n">
        <v>0</v>
      </c>
      <c r="R23" t="n">
        <v>0</v>
      </c>
      <c r="S23" t="n">
        <v>1</v>
      </c>
      <c r="T23" t="n">
        <v>2</v>
      </c>
      <c r="U23" t="n">
        <v>2</v>
      </c>
      <c r="V23" s="2" t="inlineStr">
        <is>
          <t>Tjäder</t>
        </is>
      </c>
      <c r="W23">
        <f>HYPERLINK("https://klasma.github.io/Logging_2584/artfynd/A 60064-2023 artfynd.xlsx", "A 60064-2023")</f>
        <v/>
      </c>
      <c r="X23">
        <f>HYPERLINK("https://klasma.github.io/Logging_2584/kartor/A 60064-2023 karta.png", "A 60064-2023")</f>
        <v/>
      </c>
      <c r="Y23">
        <f>HYPERLINK("https://klasma.github.io/Logging_2584/kartor_geotiff/A 60064-2023 georefererad karta.tif", "A 60064-2023")</f>
        <v/>
      </c>
      <c r="AA23">
        <f>HYPERLINK("https://klasma.github.io/Logging_2584/klagomål/A 60064-2023 FSC-klagomål.docx", "A 60064-2023")</f>
        <v/>
      </c>
      <c r="AB23">
        <f>HYPERLINK("https://klasma.github.io/Logging_2584/klagomålsmail/A 60064-2023 FSC-klagomål mail.docx", "A 60064-2023")</f>
        <v/>
      </c>
      <c r="AC23">
        <f>HYPERLINK("https://klasma.github.io/Logging_2584/tillsyn/A 60064-2023 tillsynsbegäran.docx", "A 60064-2023")</f>
        <v/>
      </c>
      <c r="AD23">
        <f>HYPERLINK("https://klasma.github.io/Logging_2584/tillsynsmail/A 60064-2023 tillsynsbegäran mail.docx", "A 60064-2023")</f>
        <v/>
      </c>
      <c r="AE23">
        <f>HYPERLINK("https://klasma.github.io/Logging_2584/fåglar/A 60064-2023 prioriterade fågelarter.docx", "A 60064-2023")</f>
        <v/>
      </c>
    </row>
    <row r="24" ht="15" customHeight="1">
      <c r="A24" t="inlineStr">
        <is>
          <t>A 4367-2024</t>
        </is>
      </c>
      <c r="B24" t="inlineStr">
        <is>
          <t>avverkningsanmälan</t>
        </is>
      </c>
      <c r="C24" t="inlineStr">
        <is>
          <t>Föryngringsavverkning</t>
        </is>
      </c>
      <c r="D24" s="1" t="n">
        <v>45326</v>
      </c>
      <c r="E24" s="1" t="n">
        <v>46272</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46272</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16024-2024</t>
        </is>
      </c>
      <c r="B26" t="inlineStr">
        <is>
          <t>avverkningsanmälan</t>
        </is>
      </c>
      <c r="C26" t="inlineStr">
        <is>
          <t>Föryngringsavverkning</t>
        </is>
      </c>
      <c r="D26" s="1" t="n">
        <v>45405</v>
      </c>
      <c r="E26" s="1" t="n">
        <v>46272</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5842-2023</t>
        </is>
      </c>
      <c r="B27" t="inlineStr">
        <is>
          <t>avverkningsanmälan</t>
        </is>
      </c>
      <c r="C27" t="inlineStr">
        <is>
          <t>Avverkning för annat ändamål</t>
        </is>
      </c>
      <c r="D27" s="1" t="n">
        <v>44958</v>
      </c>
      <c r="E27" s="1" t="n">
        <v>46272</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61066-2024</t>
        </is>
      </c>
      <c r="B28" t="inlineStr">
        <is>
          <t>avverkningsanmälan</t>
        </is>
      </c>
      <c r="C28" t="inlineStr">
        <is>
          <t>Föryngringsavverkning</t>
        </is>
      </c>
      <c r="D28" s="1" t="n">
        <v>45645</v>
      </c>
      <c r="E28" s="1" t="n">
        <v>46272</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35757-2026</t>
        </is>
      </c>
      <c r="B29" t="inlineStr">
        <is>
          <t>avverkningsanmälan</t>
        </is>
      </c>
      <c r="C29" t="inlineStr">
        <is>
          <t>Föryngringsavverkning</t>
        </is>
      </c>
      <c r="D29" s="1" t="n">
        <v>46265</v>
      </c>
      <c r="E29" s="1" t="n">
        <v>46272</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46272</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46272</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46272</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46272</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46272</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46272</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46272</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50590-2023</t>
        </is>
      </c>
      <c r="B37" t="inlineStr">
        <is>
          <t>avverkningsanmälan</t>
        </is>
      </c>
      <c r="C37" t="inlineStr">
        <is>
          <t>Föryngringsavverkning</t>
        </is>
      </c>
      <c r="D37" s="1" t="n">
        <v>45217</v>
      </c>
      <c r="E37" s="1" t="n">
        <v>46272</v>
      </c>
      <c r="F37" t="inlineStr">
        <is>
          <t>NORRBOTTENS LÄN</t>
        </is>
      </c>
      <c r="G37" t="inlineStr">
        <is>
          <t>KIRUNA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148-2026</t>
        </is>
      </c>
      <c r="B38" t="inlineStr">
        <is>
          <t>avverkningsanmälan</t>
        </is>
      </c>
      <c r="C38" t="inlineStr">
        <is>
          <t>Föryngringsavverkning</t>
        </is>
      </c>
      <c r="D38" s="1" t="n">
        <v>46024</v>
      </c>
      <c r="E38" s="1" t="n">
        <v>46272</v>
      </c>
      <c r="F38" t="inlineStr">
        <is>
          <t>NORRBOTTENS LÄN</t>
        </is>
      </c>
      <c r="G38" t="inlineStr">
        <is>
          <t>KIRUNA</t>
        </is>
      </c>
      <c r="I38" t="n">
        <v>10.2</v>
      </c>
      <c r="J38" t="n">
        <v>0</v>
      </c>
      <c r="K38" t="n">
        <v>0</v>
      </c>
      <c r="L38" t="n">
        <v>0</v>
      </c>
      <c r="M38" t="n">
        <v>0</v>
      </c>
      <c r="N38" t="n">
        <v>0</v>
      </c>
      <c r="O38" t="n">
        <v>0</v>
      </c>
      <c r="P38" t="n">
        <v>0</v>
      </c>
      <c r="Q38" t="n">
        <v>0</v>
      </c>
      <c r="R38" t="n">
        <v>0</v>
      </c>
      <c r="S38" t="n">
        <v>0</v>
      </c>
      <c r="T38" t="n">
        <v>0</v>
      </c>
      <c r="U38" t="n">
        <v>0</v>
      </c>
      <c r="V38" s="2" t="inlineStr"/>
    </row>
    <row r="39" ht="15" customHeight="1">
      <c r="A39" t="inlineStr">
        <is>
          <t>A 34663-2025</t>
        </is>
      </c>
      <c r="B39" t="inlineStr">
        <is>
          <t>avverkningsanmälan</t>
        </is>
      </c>
      <c r="C39" t="inlineStr">
        <is>
          <t>Föryngringsavverkning</t>
        </is>
      </c>
      <c r="D39" s="1" t="n">
        <v>45848</v>
      </c>
      <c r="E39" s="1" t="n">
        <v>46272</v>
      </c>
      <c r="F39" t="inlineStr">
        <is>
          <t>NORRBOTTENS LÄN</t>
        </is>
      </c>
      <c r="G39" t="inlineStr">
        <is>
          <t>KIRUNA</t>
        </is>
      </c>
      <c r="I39" t="n">
        <v>5.1</v>
      </c>
      <c r="J39" t="n">
        <v>0</v>
      </c>
      <c r="K39" t="n">
        <v>0</v>
      </c>
      <c r="L39" t="n">
        <v>0</v>
      </c>
      <c r="M39" t="n">
        <v>0</v>
      </c>
      <c r="N39" t="n">
        <v>0</v>
      </c>
      <c r="O39" t="n">
        <v>0</v>
      </c>
      <c r="P39" t="n">
        <v>0</v>
      </c>
      <c r="Q39" t="n">
        <v>0</v>
      </c>
      <c r="R39" t="n">
        <v>0</v>
      </c>
      <c r="S39" t="n">
        <v>0</v>
      </c>
      <c r="T39" t="n">
        <v>0</v>
      </c>
      <c r="U39" t="n">
        <v>0</v>
      </c>
      <c r="V39" s="2" t="inlineStr"/>
    </row>
    <row r="40" ht="15" customHeight="1">
      <c r="A40" t="inlineStr">
        <is>
          <t>A 34664-2025</t>
        </is>
      </c>
      <c r="B40" t="inlineStr">
        <is>
          <t>avverkningsanmälan</t>
        </is>
      </c>
      <c r="C40" t="inlineStr">
        <is>
          <t>Föryngringsavverkning</t>
        </is>
      </c>
      <c r="D40" s="1" t="n">
        <v>45848</v>
      </c>
      <c r="E40" s="1" t="n">
        <v>46272</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46272</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46272</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46272</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9605-2024</t>
        </is>
      </c>
      <c r="B44" t="inlineStr">
        <is>
          <t>avverkningsanmälan</t>
        </is>
      </c>
      <c r="C44" t="inlineStr">
        <is>
          <t>Föryngringsavverkning</t>
        </is>
      </c>
      <c r="D44" s="1" t="n">
        <v>45361</v>
      </c>
      <c r="E44" s="1" t="n">
        <v>46272</v>
      </c>
      <c r="F44" t="inlineStr">
        <is>
          <t>NORRBOTTENS LÄN</t>
        </is>
      </c>
      <c r="G44" t="inlineStr">
        <is>
          <t>KIRUNA</t>
        </is>
      </c>
      <c r="I44" t="n">
        <v>8.4</v>
      </c>
      <c r="J44" t="n">
        <v>0</v>
      </c>
      <c r="K44" t="n">
        <v>0</v>
      </c>
      <c r="L44" t="n">
        <v>0</v>
      </c>
      <c r="M44" t="n">
        <v>0</v>
      </c>
      <c r="N44" t="n">
        <v>0</v>
      </c>
      <c r="O44" t="n">
        <v>0</v>
      </c>
      <c r="P44" t="n">
        <v>0</v>
      </c>
      <c r="Q44" t="n">
        <v>0</v>
      </c>
      <c r="R44" t="n">
        <v>0</v>
      </c>
      <c r="S44" t="n">
        <v>0</v>
      </c>
      <c r="T44" t="n">
        <v>0</v>
      </c>
      <c r="U44" t="n">
        <v>0</v>
      </c>
      <c r="V44" s="2" t="inlineStr"/>
    </row>
    <row r="45" ht="15" customHeight="1">
      <c r="A45" t="inlineStr">
        <is>
          <t>A 5411-2024</t>
        </is>
      </c>
      <c r="B45" t="inlineStr">
        <is>
          <t>avverkningsanmälan</t>
        </is>
      </c>
      <c r="C45" t="inlineStr">
        <is>
          <t>Föryngringsavverkning</t>
        </is>
      </c>
      <c r="D45" s="1" t="n">
        <v>45331</v>
      </c>
      <c r="E45" s="1" t="n">
        <v>46272</v>
      </c>
      <c r="F45" t="inlineStr">
        <is>
          <t>NORRBOTTENS LÄN</t>
        </is>
      </c>
      <c r="G45" t="inlineStr">
        <is>
          <t>KIRUNA</t>
        </is>
      </c>
      <c r="I45" t="n">
        <v>3.9</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46272</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46272</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46272</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46272</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46272</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46272</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56168-2023</t>
        </is>
      </c>
      <c r="B52" t="inlineStr">
        <is>
          <t>avverkningsanmälan</t>
        </is>
      </c>
      <c r="C52" t="inlineStr">
        <is>
          <t>Avverkning för annat ändamål</t>
        </is>
      </c>
      <c r="D52" s="1" t="n">
        <v>45236</v>
      </c>
      <c r="E52" s="1" t="n">
        <v>46272</v>
      </c>
      <c r="F52" t="inlineStr">
        <is>
          <t>NORRBOTTENS LÄN</t>
        </is>
      </c>
      <c r="G52" t="inlineStr">
        <is>
          <t>KIRUNA</t>
        </is>
      </c>
      <c r="H52" t="inlineStr">
        <is>
          <t>Sveaskog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22494-2024</t>
        </is>
      </c>
      <c r="B53" t="inlineStr">
        <is>
          <t>avverkningsanmälan</t>
        </is>
      </c>
      <c r="C53" t="inlineStr">
        <is>
          <t>Föryngringsavverkning</t>
        </is>
      </c>
      <c r="D53" s="1" t="n">
        <v>45447</v>
      </c>
      <c r="E53" s="1" t="n">
        <v>46272</v>
      </c>
      <c r="F53" t="inlineStr">
        <is>
          <t>NORRBOTTENS LÄN</t>
        </is>
      </c>
      <c r="G53" t="inlineStr">
        <is>
          <t>KIRUNA</t>
        </is>
      </c>
      <c r="I53" t="n">
        <v>6</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46272</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46272</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13405-2026</t>
        </is>
      </c>
      <c r="B56" t="inlineStr">
        <is>
          <t>avverkningsanmälan</t>
        </is>
      </c>
      <c r="C56" t="inlineStr">
        <is>
          <t>Föryngringsavverkning</t>
        </is>
      </c>
      <c r="D56" s="1" t="n">
        <v>46094</v>
      </c>
      <c r="E56" s="1" t="n">
        <v>46272</v>
      </c>
      <c r="F56" t="inlineStr">
        <is>
          <t>NORRBOTTENS LÄN</t>
        </is>
      </c>
      <c r="G56" t="inlineStr">
        <is>
          <t>KIRUNA</t>
        </is>
      </c>
      <c r="I56" t="n">
        <v>24.5</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46272</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46272</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46272</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12969-2026</t>
        </is>
      </c>
      <c r="B60" t="inlineStr">
        <is>
          <t>avverkningsanmälan</t>
        </is>
      </c>
      <c r="C60" t="inlineStr">
        <is>
          <t>Föryngringsavverkning</t>
        </is>
      </c>
      <c r="D60" s="1" t="n">
        <v>46092</v>
      </c>
      <c r="E60" s="1" t="n">
        <v>46272</v>
      </c>
      <c r="F60" t="inlineStr">
        <is>
          <t>NORRBOTTENS LÄN</t>
        </is>
      </c>
      <c r="G60" t="inlineStr">
        <is>
          <t>KIRUNA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12984-2026</t>
        </is>
      </c>
      <c r="B61" t="inlineStr">
        <is>
          <t>avverkningsanmälan</t>
        </is>
      </c>
      <c r="C61" t="inlineStr">
        <is>
          <t>Föryngringsavverkning</t>
        </is>
      </c>
      <c r="D61" s="1" t="n">
        <v>46092</v>
      </c>
      <c r="E61" s="1" t="n">
        <v>46272</v>
      </c>
      <c r="F61" t="inlineStr">
        <is>
          <t>NORRBOTTENS LÄN</t>
        </is>
      </c>
      <c r="G61" t="inlineStr">
        <is>
          <t>KIRUNA</t>
        </is>
      </c>
      <c r="I61" t="n">
        <v>18.2</v>
      </c>
      <c r="J61" t="n">
        <v>0</v>
      </c>
      <c r="K61" t="n">
        <v>0</v>
      </c>
      <c r="L61" t="n">
        <v>0</v>
      </c>
      <c r="M61" t="n">
        <v>0</v>
      </c>
      <c r="N61" t="n">
        <v>0</v>
      </c>
      <c r="O61" t="n">
        <v>0</v>
      </c>
      <c r="P61" t="n">
        <v>0</v>
      </c>
      <c r="Q61" t="n">
        <v>0</v>
      </c>
      <c r="R61" t="n">
        <v>0</v>
      </c>
      <c r="S61" t="n">
        <v>0</v>
      </c>
      <c r="T61" t="n">
        <v>0</v>
      </c>
      <c r="U61" t="n">
        <v>0</v>
      </c>
      <c r="V61" s="2" t="inlineStr"/>
    </row>
    <row r="62" ht="15" customHeight="1">
      <c r="A62" t="inlineStr">
        <is>
          <t>A 47730-2024</t>
        </is>
      </c>
      <c r="B62" t="inlineStr">
        <is>
          <t>avverkningsanmälan</t>
        </is>
      </c>
      <c r="C62" t="inlineStr">
        <is>
          <t>Föryngringsavverkning</t>
        </is>
      </c>
      <c r="D62" s="1" t="n">
        <v>45588</v>
      </c>
      <c r="E62" s="1" t="n">
        <v>46272</v>
      </c>
      <c r="F62" t="inlineStr">
        <is>
          <t>NORRBOTTENS LÄN</t>
        </is>
      </c>
      <c r="G62" t="inlineStr">
        <is>
          <t>KIRUNA</t>
        </is>
      </c>
      <c r="H62" t="inlineStr">
        <is>
          <t>Allmännings- och besparingsskogar</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46272</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39006-2023</t>
        </is>
      </c>
      <c r="B64" t="inlineStr">
        <is>
          <t>avverkningsanmälan</t>
        </is>
      </c>
      <c r="C64" t="inlineStr">
        <is>
          <t>Avverkning för annat ändamål</t>
        </is>
      </c>
      <c r="D64" s="1" t="n">
        <v>45162</v>
      </c>
      <c r="E64" s="1" t="n">
        <v>46272</v>
      </c>
      <c r="F64" t="inlineStr">
        <is>
          <t>NORRBOTTENS LÄN</t>
        </is>
      </c>
      <c r="G64" t="inlineStr">
        <is>
          <t>KIRUNA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20744-2024</t>
        </is>
      </c>
      <c r="B65" t="inlineStr">
        <is>
          <t>avverkningsanmälan</t>
        </is>
      </c>
      <c r="C65" t="inlineStr">
        <is>
          <t>Föryngringsavverkning</t>
        </is>
      </c>
      <c r="D65" s="1" t="n">
        <v>45436</v>
      </c>
      <c r="E65" s="1" t="n">
        <v>46272</v>
      </c>
      <c r="F65" t="inlineStr">
        <is>
          <t>NORRBOTTENS LÄN</t>
        </is>
      </c>
      <c r="G65" t="inlineStr">
        <is>
          <t>KIRUNA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46272</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8350-2025</t>
        </is>
      </c>
      <c r="B67" t="inlineStr">
        <is>
          <t>avverkningsanmälan</t>
        </is>
      </c>
      <c r="C67" t="inlineStr">
        <is>
          <t>Avverkning för annat ändamål</t>
        </is>
      </c>
      <c r="D67" s="1" t="n">
        <v>45708</v>
      </c>
      <c r="E67" s="1" t="n">
        <v>46272</v>
      </c>
      <c r="F67" t="inlineStr">
        <is>
          <t>NORRBOTTENS LÄN</t>
        </is>
      </c>
      <c r="G67" t="inlineStr">
        <is>
          <t>KIRUNA</t>
        </is>
      </c>
      <c r="H67" t="inlineStr">
        <is>
          <t>Övriga statliga verk och myndigheter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22504-2024</t>
        </is>
      </c>
      <c r="B68" t="inlineStr">
        <is>
          <t>avverkningsanmälan</t>
        </is>
      </c>
      <c r="C68" t="inlineStr">
        <is>
          <t>Föryngringsavverkning</t>
        </is>
      </c>
      <c r="D68" s="1" t="n">
        <v>45447</v>
      </c>
      <c r="E68" s="1" t="n">
        <v>46272</v>
      </c>
      <c r="F68" t="inlineStr">
        <is>
          <t>NORRBOTTENS LÄN</t>
        </is>
      </c>
      <c r="G68" t="inlineStr">
        <is>
          <t>KIRUNA</t>
        </is>
      </c>
      <c r="I68" t="n">
        <v>15.6</v>
      </c>
      <c r="J68" t="n">
        <v>0</v>
      </c>
      <c r="K68" t="n">
        <v>0</v>
      </c>
      <c r="L68" t="n">
        <v>0</v>
      </c>
      <c r="M68" t="n">
        <v>0</v>
      </c>
      <c r="N68" t="n">
        <v>0</v>
      </c>
      <c r="O68" t="n">
        <v>0</v>
      </c>
      <c r="P68" t="n">
        <v>0</v>
      </c>
      <c r="Q68" t="n">
        <v>0</v>
      </c>
      <c r="R68" t="n">
        <v>0</v>
      </c>
      <c r="S68" t="n">
        <v>0</v>
      </c>
      <c r="T68" t="n">
        <v>0</v>
      </c>
      <c r="U68" t="n">
        <v>0</v>
      </c>
      <c r="V68" s="2" t="inlineStr"/>
    </row>
    <row r="69" ht="15" customHeight="1">
      <c r="A69" t="inlineStr">
        <is>
          <t>A 62452-2022</t>
        </is>
      </c>
      <c r="B69" t="inlineStr">
        <is>
          <t>avverkningsanmälan</t>
        </is>
      </c>
      <c r="C69" t="inlineStr">
        <is>
          <t>Föryngringsavverkning</t>
        </is>
      </c>
      <c r="D69" s="1" t="n">
        <v>44916</v>
      </c>
      <c r="E69" s="1" t="n">
        <v>46272</v>
      </c>
      <c r="F69" t="inlineStr">
        <is>
          <t>NORRBOTTENS LÄN</t>
        </is>
      </c>
      <c r="G69" t="inlineStr">
        <is>
          <t>KIRUNA</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46272</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23469-2022</t>
        </is>
      </c>
      <c r="B71" t="inlineStr">
        <is>
          <t>avverkningsanmälan</t>
        </is>
      </c>
      <c r="C71" t="inlineStr">
        <is>
          <t>Föryngringsavverkning</t>
        </is>
      </c>
      <c r="D71" s="1" t="n">
        <v>44721</v>
      </c>
      <c r="E71" s="1" t="n">
        <v>46272</v>
      </c>
      <c r="F71" t="inlineStr">
        <is>
          <t>NORRBOTTENS LÄN</t>
        </is>
      </c>
      <c r="G71" t="inlineStr">
        <is>
          <t>KIRUNA</t>
        </is>
      </c>
      <c r="I71" t="n">
        <v>11.8</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46272</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5476-2024</t>
        </is>
      </c>
      <c r="B73" t="inlineStr">
        <is>
          <t>avverkningsanmälan</t>
        </is>
      </c>
      <c r="C73" t="inlineStr">
        <is>
          <t>Föryngringsavverkning</t>
        </is>
      </c>
      <c r="D73" s="1" t="n">
        <v>45333</v>
      </c>
      <c r="E73" s="1" t="n">
        <v>46272</v>
      </c>
      <c r="F73" t="inlineStr">
        <is>
          <t>NORRBOTTENS LÄN</t>
        </is>
      </c>
      <c r="G73" t="inlineStr">
        <is>
          <t>KIRUNA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34693-2022</t>
        </is>
      </c>
      <c r="B74" t="inlineStr">
        <is>
          <t>avverkningsanmälan</t>
        </is>
      </c>
      <c r="C74" t="inlineStr">
        <is>
          <t>Föryngringsavverkning</t>
        </is>
      </c>
      <c r="D74" s="1" t="n">
        <v>44795</v>
      </c>
      <c r="E74" s="1" t="n">
        <v>46272</v>
      </c>
      <c r="F74" t="inlineStr">
        <is>
          <t>NORRBOTTENS LÄN</t>
        </is>
      </c>
      <c r="G74" t="inlineStr">
        <is>
          <t>KIRUNA</t>
        </is>
      </c>
      <c r="I74" t="n">
        <v>12.3</v>
      </c>
      <c r="J74" t="n">
        <v>0</v>
      </c>
      <c r="K74" t="n">
        <v>0</v>
      </c>
      <c r="L74" t="n">
        <v>0</v>
      </c>
      <c r="M74" t="n">
        <v>0</v>
      </c>
      <c r="N74" t="n">
        <v>0</v>
      </c>
      <c r="O74" t="n">
        <v>0</v>
      </c>
      <c r="P74" t="n">
        <v>0</v>
      </c>
      <c r="Q74" t="n">
        <v>0</v>
      </c>
      <c r="R74" t="n">
        <v>0</v>
      </c>
      <c r="S74" t="n">
        <v>0</v>
      </c>
      <c r="T74" t="n">
        <v>0</v>
      </c>
      <c r="U74" t="n">
        <v>0</v>
      </c>
      <c r="V74" s="2" t="inlineStr"/>
    </row>
    <row r="75" ht="15" customHeight="1">
      <c r="A75" t="inlineStr">
        <is>
          <t>A 29231-2026</t>
        </is>
      </c>
      <c r="B75" t="inlineStr">
        <is>
          <t>avverkningsanmälan</t>
        </is>
      </c>
      <c r="C75" t="inlineStr">
        <is>
          <t>Föryngringsavverkning</t>
        </is>
      </c>
      <c r="D75" s="1" t="n">
        <v>46202</v>
      </c>
      <c r="E75" s="1" t="n">
        <v>46272</v>
      </c>
      <c r="F75" t="inlineStr">
        <is>
          <t>NORRBOTTENS LÄN</t>
        </is>
      </c>
      <c r="G75" t="inlineStr">
        <is>
          <t>KIRUNA</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29167-2026</t>
        </is>
      </c>
      <c r="B76" t="inlineStr">
        <is>
          <t>avverkningsanmälan</t>
        </is>
      </c>
      <c r="C76" t="inlineStr">
        <is>
          <t>Föryngringsavverkning</t>
        </is>
      </c>
      <c r="D76" s="1" t="n">
        <v>46202</v>
      </c>
      <c r="E76" s="1" t="n">
        <v>46272</v>
      </c>
      <c r="F76" t="inlineStr">
        <is>
          <t>NORRBOTTENS LÄN</t>
        </is>
      </c>
      <c r="G76" t="inlineStr">
        <is>
          <t>KIRUNA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46272</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29048-2026</t>
        </is>
      </c>
      <c r="B78" t="inlineStr">
        <is>
          <t>avverkningsanmälan</t>
        </is>
      </c>
      <c r="C78" t="inlineStr">
        <is>
          <t>Föryngringsavverkning</t>
        </is>
      </c>
      <c r="D78" s="1" t="n">
        <v>46199</v>
      </c>
      <c r="E78" s="1" t="n">
        <v>46272</v>
      </c>
      <c r="F78" t="inlineStr">
        <is>
          <t>NORRBOTTENS LÄN</t>
        </is>
      </c>
      <c r="G78" t="inlineStr">
        <is>
          <t>KIRUNA</t>
        </is>
      </c>
      <c r="I78" t="n">
        <v>16.9</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46272</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46272</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30594-2026</t>
        </is>
      </c>
      <c r="B81" t="inlineStr">
        <is>
          <t>avverkningsanmälan</t>
        </is>
      </c>
      <c r="C81" t="inlineStr">
        <is>
          <t>Föryngringsavverkning</t>
        </is>
      </c>
      <c r="D81" s="1" t="n">
        <v>46210</v>
      </c>
      <c r="E81" s="1" t="n">
        <v>46272</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30591-2026</t>
        </is>
      </c>
      <c r="B82" t="inlineStr">
        <is>
          <t>avverkningsanmälan</t>
        </is>
      </c>
      <c r="C82" t="inlineStr">
        <is>
          <t>Föryngringsavverkning</t>
        </is>
      </c>
      <c r="D82" s="1" t="n">
        <v>46210</v>
      </c>
      <c r="E82" s="1" t="n">
        <v>46272</v>
      </c>
      <c r="F82" t="inlineStr">
        <is>
          <t>NORRBOTTENS LÄN</t>
        </is>
      </c>
      <c r="G82" t="inlineStr">
        <is>
          <t>KIRUNA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62439-2022</t>
        </is>
      </c>
      <c r="B83" t="inlineStr">
        <is>
          <t>avverkningsanmälan</t>
        </is>
      </c>
      <c r="C83" t="inlineStr">
        <is>
          <t>Föryngringsavverkning</t>
        </is>
      </c>
      <c r="D83" s="1" t="n">
        <v>44916</v>
      </c>
      <c r="E83" s="1" t="n">
        <v>46272</v>
      </c>
      <c r="F83" t="inlineStr">
        <is>
          <t>NORRBOTTENS LÄN</t>
        </is>
      </c>
      <c r="G83" t="inlineStr">
        <is>
          <t>KIRUNA</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30562-2026</t>
        </is>
      </c>
      <c r="B84" t="inlineStr">
        <is>
          <t>avverkningsanmälan</t>
        </is>
      </c>
      <c r="C84" t="inlineStr">
        <is>
          <t>Föryngringsavverkning</t>
        </is>
      </c>
      <c r="D84" s="1" t="n">
        <v>46210</v>
      </c>
      <c r="E84" s="1" t="n">
        <v>46272</v>
      </c>
      <c r="F84" t="inlineStr">
        <is>
          <t>NORRBOTTENS LÄN</t>
        </is>
      </c>
      <c r="G84" t="inlineStr">
        <is>
          <t>KIRUNA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28533-2026</t>
        </is>
      </c>
      <c r="B85" t="inlineStr">
        <is>
          <t>avverkningsanmälan</t>
        </is>
      </c>
      <c r="C85" t="inlineStr">
        <is>
          <t>Föryngringsavverkning</t>
        </is>
      </c>
      <c r="D85" s="1" t="n">
        <v>46197</v>
      </c>
      <c r="E85" s="1" t="n">
        <v>46272</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46272</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46272</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46272</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2026-09-07T02:10:44Z</dcterms:created>
  <dcterms:modified xmlns:dcterms="http://purl.org/dc/terms/" xmlns:xsi="http://www.w3.org/2001/XMLSchema-instance" xsi:type="dcterms:W3CDTF">2026-09-07T02:10:44Z</dcterms:modified>
</cp:coreProperties>
</file>