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46263</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46263</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46263</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46263</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46263</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46263</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46263</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46263</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46263</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46263</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46263</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21183-2025</t>
        </is>
      </c>
      <c r="B13" t="inlineStr">
        <is>
          <t>avverkningsanmälan</t>
        </is>
      </c>
      <c r="C13" t="inlineStr">
        <is>
          <t>Föryngringsavverkning</t>
        </is>
      </c>
      <c r="D13" s="1" t="n">
        <v>45779</v>
      </c>
      <c r="E13" s="1" t="n">
        <v>46263</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64829-2023</t>
        </is>
      </c>
      <c r="B14" t="inlineStr">
        <is>
          <t>avverkningsanmälan</t>
        </is>
      </c>
      <c r="C14" t="inlineStr">
        <is>
          <t>Avverkning för annat ändamål</t>
        </is>
      </c>
      <c r="D14" s="1" t="n">
        <v>45281</v>
      </c>
      <c r="E14" s="1" t="n">
        <v>46263</v>
      </c>
      <c r="F14" t="inlineStr">
        <is>
          <t>NORRBOTTENS LÄN</t>
        </is>
      </c>
      <c r="G14" t="inlineStr">
        <is>
          <t>KIRUNA</t>
        </is>
      </c>
      <c r="I14" t="n">
        <v>31.7</v>
      </c>
      <c r="J14" t="n">
        <v>2</v>
      </c>
      <c r="K14" t="n">
        <v>0</v>
      </c>
      <c r="L14" t="n">
        <v>2</v>
      </c>
      <c r="M14" t="n">
        <v>0</v>
      </c>
      <c r="N14" t="n">
        <v>0</v>
      </c>
      <c r="O14" t="n">
        <v>0</v>
      </c>
      <c r="P14" t="n">
        <v>0</v>
      </c>
      <c r="Q14" t="n">
        <v>2</v>
      </c>
      <c r="R14" t="n">
        <v>0</v>
      </c>
      <c r="S14" t="n">
        <v>3</v>
      </c>
      <c r="T14" t="n">
        <v>3</v>
      </c>
      <c r="U14" t="n">
        <v>0</v>
      </c>
      <c r="V14" s="2" t="inlineStr">
        <is>
          <t>Höstlåsbräken
Månlåsbräken
Mattlummer</t>
        </is>
      </c>
      <c r="W14">
        <f>HYPERLINK("https://klasma.github.io/Logging_2584/artfynd/A 64829-2023 artfynd.xlsx", "A 64829-2023")</f>
        <v/>
      </c>
      <c r="X14">
        <f>HYPERLINK("https://klasma.github.io/Logging_2584/kartor/A 64829-2023 karta.png", "A 64829-2023")</f>
        <v/>
      </c>
      <c r="Y14">
        <f>HYPERLINK("https://klasma.github.io/Logging_2584/kartor_geotiff/A 64829-2023 georefererad karta.tif", "A 64829-2023")</f>
        <v/>
      </c>
      <c r="AA14">
        <f>HYPERLINK("https://klasma.github.io/Logging_2584/klagomål/A 64829-2023 FSC-klagomål.docx", "A 64829-2023")</f>
        <v/>
      </c>
      <c r="AB14">
        <f>HYPERLINK("https://klasma.github.io/Logging_2584/klagomålsmail/A 64829-2023 FSC-klagomål mail.docx", "A 64829-2023")</f>
        <v/>
      </c>
      <c r="AC14">
        <f>HYPERLINK("https://klasma.github.io/Logging_2584/tillsyn/A 64829-2023 tillsynsbegäran.docx", "A 64829-2023")</f>
        <v/>
      </c>
      <c r="AD14">
        <f>HYPERLINK("https://klasma.github.io/Logging_2584/tillsynsmail/A 64829-2023 tillsynsbegäran mail.docx", "A 64829-2023")</f>
        <v/>
      </c>
    </row>
    <row r="15" ht="15" customHeight="1">
      <c r="A15" t="inlineStr">
        <is>
          <t>A 22495-2024</t>
        </is>
      </c>
      <c r="B15" t="inlineStr">
        <is>
          <t>avverkningsanmälan</t>
        </is>
      </c>
      <c r="C15" t="inlineStr">
        <is>
          <t>Föryngringsavverkning</t>
        </is>
      </c>
      <c r="D15" s="1" t="n">
        <v>45447</v>
      </c>
      <c r="E15" s="1" t="n">
        <v>46263</v>
      </c>
      <c r="F15" t="inlineStr">
        <is>
          <t>NORRBOTTENS LÄN</t>
        </is>
      </c>
      <c r="G15" t="inlineStr">
        <is>
          <t>KIRUNA</t>
        </is>
      </c>
      <c r="I15" t="n">
        <v>7.1</v>
      </c>
      <c r="J15" t="n">
        <v>2</v>
      </c>
      <c r="K15" t="n">
        <v>0</v>
      </c>
      <c r="L15" t="n">
        <v>2</v>
      </c>
      <c r="M15" t="n">
        <v>1</v>
      </c>
      <c r="N15" t="n">
        <v>0</v>
      </c>
      <c r="O15" t="n">
        <v>0</v>
      </c>
      <c r="P15" t="n">
        <v>0</v>
      </c>
      <c r="Q15" t="n">
        <v>3</v>
      </c>
      <c r="R15" t="n">
        <v>1</v>
      </c>
      <c r="S15" t="n">
        <v>3</v>
      </c>
      <c r="T15" t="n">
        <v>3</v>
      </c>
      <c r="U15" t="n">
        <v>0</v>
      </c>
      <c r="V15" s="2" t="inlineStr">
        <is>
          <t>Tajgafältmätare
Blåhake
Lavskrika</t>
        </is>
      </c>
      <c r="W15">
        <f>HYPERLINK("https://klasma.github.io/Logging_2584/artfynd/A 22495-2024 artfynd.xlsx", "A 22495-2024")</f>
        <v/>
      </c>
      <c r="X15">
        <f>HYPERLINK("https://klasma.github.io/Logging_2584/kartor/A 22495-2024 karta.png", "A 22495-2024")</f>
        <v/>
      </c>
      <c r="Y15">
        <f>HYPERLINK("https://klasma.github.io/Logging_2584/kartor_geotiff/A 22495-2024 georefererad karta.tif", "A 22495-2024")</f>
        <v/>
      </c>
      <c r="AA15">
        <f>HYPERLINK("https://klasma.github.io/Logging_2584/klagomål/A 22495-2024 FSC-klagomål.docx", "A 22495-2024")</f>
        <v/>
      </c>
      <c r="AB15">
        <f>HYPERLINK("https://klasma.github.io/Logging_2584/klagomålsmail/A 22495-2024 FSC-klagomål mail.docx", "A 22495-2024")</f>
        <v/>
      </c>
      <c r="AC15">
        <f>HYPERLINK("https://klasma.github.io/Logging_2584/tillsyn/A 22495-2024 tillsynsbegäran.docx", "A 22495-2024")</f>
        <v/>
      </c>
      <c r="AD15">
        <f>HYPERLINK("https://klasma.github.io/Logging_2584/tillsynsmail/A 22495-2024 tillsynsbegäran mail.docx", "A 22495-2024")</f>
        <v/>
      </c>
      <c r="AE15">
        <f>HYPERLINK("https://klasma.github.io/Logging_2584/fåglar/A 22495-2024 prioriterade fågelarter.docx", "A 22495-2024")</f>
        <v/>
      </c>
    </row>
    <row r="16" ht="15" customHeight="1">
      <c r="A16" t="inlineStr">
        <is>
          <t>A 53309-2023</t>
        </is>
      </c>
      <c r="B16" t="inlineStr">
        <is>
          <t>avverkningsanmälan</t>
        </is>
      </c>
      <c r="C16" t="inlineStr">
        <is>
          <t>Avverkning för annat ändamål</t>
        </is>
      </c>
      <c r="D16" s="1" t="n">
        <v>45229</v>
      </c>
      <c r="E16" s="1" t="n">
        <v>46263</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46263</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46263</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17740-2023</t>
        </is>
      </c>
      <c r="B19" t="inlineStr">
        <is>
          <t>avverkningsanmälan</t>
        </is>
      </c>
      <c r="C19" t="inlineStr">
        <is>
          <t>Föryngringsavverkning</t>
        </is>
      </c>
      <c r="D19" s="1" t="n">
        <v>45035</v>
      </c>
      <c r="E19" s="1" t="n">
        <v>46263</v>
      </c>
      <c r="F19" t="inlineStr">
        <is>
          <t>NORRBOTTENS LÄN</t>
        </is>
      </c>
      <c r="G19" t="inlineStr">
        <is>
          <t>KIRUNA</t>
        </is>
      </c>
      <c r="H19" t="inlineStr">
        <is>
          <t>Allmännings- och besparingsskogar</t>
        </is>
      </c>
      <c r="I19" t="n">
        <v>20.1</v>
      </c>
      <c r="J19" t="n">
        <v>1</v>
      </c>
      <c r="K19" t="n">
        <v>0</v>
      </c>
      <c r="L19" t="n">
        <v>1</v>
      </c>
      <c r="M19" t="n">
        <v>0</v>
      </c>
      <c r="N19" t="n">
        <v>0</v>
      </c>
      <c r="O19" t="n">
        <v>0</v>
      </c>
      <c r="P19" t="n">
        <v>0</v>
      </c>
      <c r="Q19" t="n">
        <v>1</v>
      </c>
      <c r="R19" t="n">
        <v>0</v>
      </c>
      <c r="S19" t="n">
        <v>2</v>
      </c>
      <c r="T19" t="n">
        <v>2</v>
      </c>
      <c r="U19" t="n">
        <v>1</v>
      </c>
      <c r="V19" s="2" t="inlineStr">
        <is>
          <t>Knottrig blåslav
Svartvit flugsnappare</t>
        </is>
      </c>
      <c r="W19">
        <f>HYPERLINK("https://klasma.github.io/Logging_2584/artfynd/A 17740-2023 artfynd.xlsx", "A 17740-2023")</f>
        <v/>
      </c>
      <c r="X19">
        <f>HYPERLINK("https://klasma.github.io/Logging_2584/kartor/A 17740-2023 karta.png", "A 17740-2023")</f>
        <v/>
      </c>
      <c r="Y19">
        <f>HYPERLINK("https://klasma.github.io/Logging_2584/kartor_geotiff/A 17740-2023 georefererad karta.tif", "A 17740-2023")</f>
        <v/>
      </c>
      <c r="AA19">
        <f>HYPERLINK("https://klasma.github.io/Logging_2584/klagomål/A 17740-2023 FSC-klagomål.docx", "A 17740-2023")</f>
        <v/>
      </c>
      <c r="AB19">
        <f>HYPERLINK("https://klasma.github.io/Logging_2584/klagomålsmail/A 17740-2023 FSC-klagomål mail.docx", "A 17740-2023")</f>
        <v/>
      </c>
      <c r="AC19">
        <f>HYPERLINK("https://klasma.github.io/Logging_2584/tillsyn/A 17740-2023 tillsynsbegäran.docx", "A 17740-2023")</f>
        <v/>
      </c>
      <c r="AD19">
        <f>HYPERLINK("https://klasma.github.io/Logging_2584/tillsynsmail/A 17740-2023 tillsynsbegäran mail.docx", "A 17740-2023")</f>
        <v/>
      </c>
    </row>
    <row r="20" ht="15" customHeight="1">
      <c r="A20" t="inlineStr">
        <is>
          <t>A 53264-2023</t>
        </is>
      </c>
      <c r="B20" t="inlineStr">
        <is>
          <t>avverkningsanmälan</t>
        </is>
      </c>
      <c r="C20" t="inlineStr">
        <is>
          <t>Föryngringsavverkning</t>
        </is>
      </c>
      <c r="D20" s="1" t="n">
        <v>45222</v>
      </c>
      <c r="E20" s="1" t="n">
        <v>46263</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58860-2022</t>
        </is>
      </c>
      <c r="B21" t="inlineStr">
        <is>
          <t>avverkningsanmälan</t>
        </is>
      </c>
      <c r="C21" t="inlineStr">
        <is>
          <t>Avverkning för annat ändamål</t>
        </is>
      </c>
      <c r="D21" s="1" t="n">
        <v>44896</v>
      </c>
      <c r="E21" s="1" t="n">
        <v>46263</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45810-2022</t>
        </is>
      </c>
      <c r="B22" t="inlineStr">
        <is>
          <t>avverkningsanmälan</t>
        </is>
      </c>
      <c r="C22" t="inlineStr">
        <is>
          <t>Avverkning för annat ändamål</t>
        </is>
      </c>
      <c r="D22" s="1" t="n">
        <v>44844</v>
      </c>
      <c r="E22" s="1" t="n">
        <v>46263</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46263</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46263</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2660-2026</t>
        </is>
      </c>
      <c r="B25" t="inlineStr">
        <is>
          <t>avverkningsanmälan</t>
        </is>
      </c>
      <c r="C25" t="inlineStr">
        <is>
          <t>Föryngringsavverkning</t>
        </is>
      </c>
      <c r="D25" s="1" t="n">
        <v>46037</v>
      </c>
      <c r="E25" s="1" t="n">
        <v>46263</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46263</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46263</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46263</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45205-2022</t>
        </is>
      </c>
      <c r="B29" t="inlineStr">
        <is>
          <t>avverkningsanmälan</t>
        </is>
      </c>
      <c r="C29" t="inlineStr">
        <is>
          <t>Avverkning för annat ändamål</t>
        </is>
      </c>
      <c r="D29" s="1" t="n">
        <v>44840</v>
      </c>
      <c r="E29" s="1" t="n">
        <v>46263</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46263</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46263</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46263</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46263</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46263</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21184-2025</t>
        </is>
      </c>
      <c r="B35" t="inlineStr">
        <is>
          <t>avverkningsanmälan</t>
        </is>
      </c>
      <c r="C35" t="inlineStr">
        <is>
          <t>Föryngringsavverkning</t>
        </is>
      </c>
      <c r="D35" s="1" t="n">
        <v>45777</v>
      </c>
      <c r="E35" s="1" t="n">
        <v>46263</v>
      </c>
      <c r="F35" t="inlineStr">
        <is>
          <t>NORRBOTTENS LÄN</t>
        </is>
      </c>
      <c r="G35" t="inlineStr">
        <is>
          <t>KIRUNA</t>
        </is>
      </c>
      <c r="I35" t="n">
        <v>20.1</v>
      </c>
      <c r="J35" t="n">
        <v>0</v>
      </c>
      <c r="K35" t="n">
        <v>0</v>
      </c>
      <c r="L35" t="n">
        <v>0</v>
      </c>
      <c r="M35" t="n">
        <v>0</v>
      </c>
      <c r="N35" t="n">
        <v>0</v>
      </c>
      <c r="O35" t="n">
        <v>0</v>
      </c>
      <c r="P35" t="n">
        <v>0</v>
      </c>
      <c r="Q35" t="n">
        <v>0</v>
      </c>
      <c r="R35" t="n">
        <v>0</v>
      </c>
      <c r="S35" t="n">
        <v>0</v>
      </c>
      <c r="T35" t="n">
        <v>0</v>
      </c>
      <c r="U35" t="n">
        <v>0</v>
      </c>
      <c r="V35" s="2" t="inlineStr"/>
    </row>
    <row r="36" ht="15" customHeight="1">
      <c r="A36" t="inlineStr">
        <is>
          <t>A 20893-2025</t>
        </is>
      </c>
      <c r="B36" t="inlineStr">
        <is>
          <t>avverkningsanmälan</t>
        </is>
      </c>
      <c r="C36" t="inlineStr">
        <is>
          <t>Föryngringsavverkning</t>
        </is>
      </c>
      <c r="D36" s="1" t="n">
        <v>45776</v>
      </c>
      <c r="E36" s="1" t="n">
        <v>46263</v>
      </c>
      <c r="F36" t="inlineStr">
        <is>
          <t>NORRBOTTENS LÄN</t>
        </is>
      </c>
      <c r="G36" t="inlineStr">
        <is>
          <t>KIRUNA</t>
        </is>
      </c>
      <c r="I36" t="n">
        <v>27.3</v>
      </c>
      <c r="J36" t="n">
        <v>0</v>
      </c>
      <c r="K36" t="n">
        <v>0</v>
      </c>
      <c r="L36" t="n">
        <v>0</v>
      </c>
      <c r="M36" t="n">
        <v>0</v>
      </c>
      <c r="N36" t="n">
        <v>0</v>
      </c>
      <c r="O36" t="n">
        <v>0</v>
      </c>
      <c r="P36" t="n">
        <v>0</v>
      </c>
      <c r="Q36" t="n">
        <v>0</v>
      </c>
      <c r="R36" t="n">
        <v>0</v>
      </c>
      <c r="S36" t="n">
        <v>0</v>
      </c>
      <c r="T36" t="n">
        <v>0</v>
      </c>
      <c r="U36" t="n">
        <v>0</v>
      </c>
      <c r="V36" s="2" t="inlineStr"/>
    </row>
    <row r="37" ht="15" customHeight="1">
      <c r="A37" t="inlineStr">
        <is>
          <t>A 22494-2024</t>
        </is>
      </c>
      <c r="B37" t="inlineStr">
        <is>
          <t>avverkningsanmälan</t>
        </is>
      </c>
      <c r="C37" t="inlineStr">
        <is>
          <t>Föryngringsavverkning</t>
        </is>
      </c>
      <c r="D37" s="1" t="n">
        <v>45447</v>
      </c>
      <c r="E37" s="1" t="n">
        <v>46263</v>
      </c>
      <c r="F37" t="inlineStr">
        <is>
          <t>NORRBOTTENS LÄN</t>
        </is>
      </c>
      <c r="G37" t="inlineStr">
        <is>
          <t>KIRUNA</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9069-2023</t>
        </is>
      </c>
      <c r="B38" t="inlineStr">
        <is>
          <t>avverkningsanmälan</t>
        </is>
      </c>
      <c r="C38" t="inlineStr">
        <is>
          <t>Föryngringsavverkning</t>
        </is>
      </c>
      <c r="D38" s="1" t="n">
        <v>44979</v>
      </c>
      <c r="E38" s="1" t="n">
        <v>46263</v>
      </c>
      <c r="F38" t="inlineStr">
        <is>
          <t>NORRBOTTENS LÄN</t>
        </is>
      </c>
      <c r="G38" t="inlineStr">
        <is>
          <t>KIRUNA</t>
        </is>
      </c>
      <c r="H38" t="inlineStr">
        <is>
          <t>SCA</t>
        </is>
      </c>
      <c r="I38" t="n">
        <v>4</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46263</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62439-2022</t>
        </is>
      </c>
      <c r="B40" t="inlineStr">
        <is>
          <t>avverkningsanmälan</t>
        </is>
      </c>
      <c r="C40" t="inlineStr">
        <is>
          <t>Föryngringsavverkning</t>
        </is>
      </c>
      <c r="D40" s="1" t="n">
        <v>44916</v>
      </c>
      <c r="E40" s="1" t="n">
        <v>46263</v>
      </c>
      <c r="F40" t="inlineStr">
        <is>
          <t>NORRBOTTENS LÄN</t>
        </is>
      </c>
      <c r="G40" t="inlineStr">
        <is>
          <t>KIRUNA</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22504-2024</t>
        </is>
      </c>
      <c r="B41" t="inlineStr">
        <is>
          <t>avverkningsanmälan</t>
        </is>
      </c>
      <c r="C41" t="inlineStr">
        <is>
          <t>Föryngringsavverkning</t>
        </is>
      </c>
      <c r="D41" s="1" t="n">
        <v>45447</v>
      </c>
      <c r="E41" s="1" t="n">
        <v>46263</v>
      </c>
      <c r="F41" t="inlineStr">
        <is>
          <t>NORRBOTTENS LÄN</t>
        </is>
      </c>
      <c r="G41" t="inlineStr">
        <is>
          <t>KIRUNA</t>
        </is>
      </c>
      <c r="I41" t="n">
        <v>15.6</v>
      </c>
      <c r="J41" t="n">
        <v>0</v>
      </c>
      <c r="K41" t="n">
        <v>0</v>
      </c>
      <c r="L41" t="n">
        <v>0</v>
      </c>
      <c r="M41" t="n">
        <v>0</v>
      </c>
      <c r="N41" t="n">
        <v>0</v>
      </c>
      <c r="O41" t="n">
        <v>0</v>
      </c>
      <c r="P41" t="n">
        <v>0</v>
      </c>
      <c r="Q41" t="n">
        <v>0</v>
      </c>
      <c r="R41" t="n">
        <v>0</v>
      </c>
      <c r="S41" t="n">
        <v>0</v>
      </c>
      <c r="T41" t="n">
        <v>0</v>
      </c>
      <c r="U41" t="n">
        <v>0</v>
      </c>
      <c r="V41" s="2" t="inlineStr"/>
    </row>
    <row r="42" ht="15" customHeight="1">
      <c r="A42" t="inlineStr">
        <is>
          <t>A 5476-2024</t>
        </is>
      </c>
      <c r="B42" t="inlineStr">
        <is>
          <t>avverkningsanmälan</t>
        </is>
      </c>
      <c r="C42" t="inlineStr">
        <is>
          <t>Föryngringsavverkning</t>
        </is>
      </c>
      <c r="D42" s="1" t="n">
        <v>45333</v>
      </c>
      <c r="E42" s="1" t="n">
        <v>46263</v>
      </c>
      <c r="F42" t="inlineStr">
        <is>
          <t>NORRBOTTENS LÄN</t>
        </is>
      </c>
      <c r="G42" t="inlineStr">
        <is>
          <t>KIRUNA</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50338-2025</t>
        </is>
      </c>
      <c r="B43" t="inlineStr">
        <is>
          <t>avverkningsanmälan</t>
        </is>
      </c>
      <c r="C43" t="inlineStr">
        <is>
          <t>Föryngringsavverkning</t>
        </is>
      </c>
      <c r="D43" s="1" t="n">
        <v>45944</v>
      </c>
      <c r="E43" s="1" t="n">
        <v>46263</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t="n">
        <v>0</v>
      </c>
      <c r="V43" s="2" t="inlineStr"/>
    </row>
    <row r="44" ht="15" customHeight="1">
      <c r="A44" t="inlineStr">
        <is>
          <t>A 18721-2024</t>
        </is>
      </c>
      <c r="B44" t="inlineStr">
        <is>
          <t>avverkningsanmälan</t>
        </is>
      </c>
      <c r="C44" t="inlineStr">
        <is>
          <t>Föryngringsavverkning</t>
        </is>
      </c>
      <c r="D44" s="1" t="n">
        <v>45426</v>
      </c>
      <c r="E44" s="1" t="n">
        <v>46263</v>
      </c>
      <c r="F44" t="inlineStr">
        <is>
          <t>NORRBOTTENS LÄN</t>
        </is>
      </c>
      <c r="G44" t="inlineStr">
        <is>
          <t>KIRUNA</t>
        </is>
      </c>
      <c r="I44" t="n">
        <v>62.1</v>
      </c>
      <c r="J44" t="n">
        <v>0</v>
      </c>
      <c r="K44" t="n">
        <v>0</v>
      </c>
      <c r="L44" t="n">
        <v>0</v>
      </c>
      <c r="M44" t="n">
        <v>0</v>
      </c>
      <c r="N44" t="n">
        <v>0</v>
      </c>
      <c r="O44" t="n">
        <v>0</v>
      </c>
      <c r="P44" t="n">
        <v>0</v>
      </c>
      <c r="Q44" t="n">
        <v>0</v>
      </c>
      <c r="R44" t="n">
        <v>0</v>
      </c>
      <c r="S44" t="n">
        <v>0</v>
      </c>
      <c r="T44" t="n">
        <v>0</v>
      </c>
      <c r="U44" t="n">
        <v>0</v>
      </c>
      <c r="V44" s="2" t="inlineStr"/>
    </row>
    <row r="45" ht="15" customHeight="1">
      <c r="A45" t="inlineStr">
        <is>
          <t>A 34664-2025</t>
        </is>
      </c>
      <c r="B45" t="inlineStr">
        <is>
          <t>avverkningsanmälan</t>
        </is>
      </c>
      <c r="C45" t="inlineStr">
        <is>
          <t>Föryngringsavverkning</t>
        </is>
      </c>
      <c r="D45" s="1" t="n">
        <v>45848</v>
      </c>
      <c r="E45" s="1" t="n">
        <v>46263</v>
      </c>
      <c r="F45" t="inlineStr">
        <is>
          <t>NORRBOTTENS LÄN</t>
        </is>
      </c>
      <c r="G45" t="inlineStr">
        <is>
          <t>KIRUNA</t>
        </is>
      </c>
      <c r="I45" t="n">
        <v>8.4</v>
      </c>
      <c r="J45" t="n">
        <v>0</v>
      </c>
      <c r="K45" t="n">
        <v>0</v>
      </c>
      <c r="L45" t="n">
        <v>0</v>
      </c>
      <c r="M45" t="n">
        <v>0</v>
      </c>
      <c r="N45" t="n">
        <v>0</v>
      </c>
      <c r="O45" t="n">
        <v>0</v>
      </c>
      <c r="P45" t="n">
        <v>0</v>
      </c>
      <c r="Q45" t="n">
        <v>0</v>
      </c>
      <c r="R45" t="n">
        <v>0</v>
      </c>
      <c r="S45" t="n">
        <v>0</v>
      </c>
      <c r="T45" t="n">
        <v>0</v>
      </c>
      <c r="U45" t="n">
        <v>0</v>
      </c>
      <c r="V45" s="2" t="inlineStr"/>
    </row>
    <row r="46" ht="15" customHeight="1">
      <c r="A46" t="inlineStr">
        <is>
          <t>A 34663-2025</t>
        </is>
      </c>
      <c r="B46" t="inlineStr">
        <is>
          <t>avverkningsanmälan</t>
        </is>
      </c>
      <c r="C46" t="inlineStr">
        <is>
          <t>Föryngringsavverkning</t>
        </is>
      </c>
      <c r="D46" s="1" t="n">
        <v>45848</v>
      </c>
      <c r="E46" s="1" t="n">
        <v>46263</v>
      </c>
      <c r="F46" t="inlineStr">
        <is>
          <t>NORRBOTTENS LÄN</t>
        </is>
      </c>
      <c r="G46" t="inlineStr">
        <is>
          <t>KIRUNA</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46263</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49704-2024</t>
        </is>
      </c>
      <c r="B48" t="inlineStr">
        <is>
          <t>avverkningsanmälan</t>
        </is>
      </c>
      <c r="C48" t="inlineStr">
        <is>
          <t>Föryngringsavverkning</t>
        </is>
      </c>
      <c r="D48" s="1" t="n">
        <v>45596</v>
      </c>
      <c r="E48" s="1" t="n">
        <v>46263</v>
      </c>
      <c r="F48" t="inlineStr">
        <is>
          <t>NORRBOTTENS LÄN</t>
        </is>
      </c>
      <c r="G48" t="inlineStr">
        <is>
          <t>KIRUNA</t>
        </is>
      </c>
      <c r="I48" t="n">
        <v>17.4</v>
      </c>
      <c r="J48" t="n">
        <v>0</v>
      </c>
      <c r="K48" t="n">
        <v>0</v>
      </c>
      <c r="L48" t="n">
        <v>0</v>
      </c>
      <c r="M48" t="n">
        <v>0</v>
      </c>
      <c r="N48" t="n">
        <v>0</v>
      </c>
      <c r="O48" t="n">
        <v>0</v>
      </c>
      <c r="P48" t="n">
        <v>0</v>
      </c>
      <c r="Q48" t="n">
        <v>0</v>
      </c>
      <c r="R48" t="n">
        <v>0</v>
      </c>
      <c r="S48" t="n">
        <v>0</v>
      </c>
      <c r="T48" t="n">
        <v>0</v>
      </c>
      <c r="U48" t="n">
        <v>0</v>
      </c>
      <c r="V48" s="2" t="inlineStr"/>
    </row>
    <row r="49" ht="15" customHeight="1">
      <c r="A49" t="inlineStr">
        <is>
          <t>A 22491-2024</t>
        </is>
      </c>
      <c r="B49" t="inlineStr">
        <is>
          <t>avverkningsanmälan</t>
        </is>
      </c>
      <c r="C49" t="inlineStr">
        <is>
          <t>Föryngringsavverkning</t>
        </is>
      </c>
      <c r="D49" s="1" t="n">
        <v>45447</v>
      </c>
      <c r="E49" s="1" t="n">
        <v>46263</v>
      </c>
      <c r="F49" t="inlineStr">
        <is>
          <t>NORRBOTTENS LÄN</t>
        </is>
      </c>
      <c r="G49" t="inlineStr">
        <is>
          <t>KIRUNA</t>
        </is>
      </c>
      <c r="I49" t="n">
        <v>9</v>
      </c>
      <c r="J49" t="n">
        <v>0</v>
      </c>
      <c r="K49" t="n">
        <v>0</v>
      </c>
      <c r="L49" t="n">
        <v>0</v>
      </c>
      <c r="M49" t="n">
        <v>0</v>
      </c>
      <c r="N49" t="n">
        <v>0</v>
      </c>
      <c r="O49" t="n">
        <v>0</v>
      </c>
      <c r="P49" t="n">
        <v>0</v>
      </c>
      <c r="Q49" t="n">
        <v>0</v>
      </c>
      <c r="R49" t="n">
        <v>0</v>
      </c>
      <c r="S49" t="n">
        <v>0</v>
      </c>
      <c r="T49" t="n">
        <v>0</v>
      </c>
      <c r="U49" t="n">
        <v>0</v>
      </c>
      <c r="V49" s="2" t="inlineStr"/>
    </row>
    <row r="50" ht="15" customHeight="1">
      <c r="A50" t="inlineStr">
        <is>
          <t>A 23469-2022</t>
        </is>
      </c>
      <c r="B50" t="inlineStr">
        <is>
          <t>avverkningsanmälan</t>
        </is>
      </c>
      <c r="C50" t="inlineStr">
        <is>
          <t>Föryngringsavverkning</t>
        </is>
      </c>
      <c r="D50" s="1" t="n">
        <v>44721</v>
      </c>
      <c r="E50" s="1" t="n">
        <v>46263</v>
      </c>
      <c r="F50" t="inlineStr">
        <is>
          <t>NORRBOTTENS LÄN</t>
        </is>
      </c>
      <c r="G50" t="inlineStr">
        <is>
          <t>KIRUNA</t>
        </is>
      </c>
      <c r="I50" t="n">
        <v>11.8</v>
      </c>
      <c r="J50" t="n">
        <v>0</v>
      </c>
      <c r="K50" t="n">
        <v>0</v>
      </c>
      <c r="L50" t="n">
        <v>0</v>
      </c>
      <c r="M50" t="n">
        <v>0</v>
      </c>
      <c r="N50" t="n">
        <v>0</v>
      </c>
      <c r="O50" t="n">
        <v>0</v>
      </c>
      <c r="P50" t="n">
        <v>0</v>
      </c>
      <c r="Q50" t="n">
        <v>0</v>
      </c>
      <c r="R50" t="n">
        <v>0</v>
      </c>
      <c r="S50" t="n">
        <v>0</v>
      </c>
      <c r="T50" t="n">
        <v>0</v>
      </c>
      <c r="U50" t="n">
        <v>0</v>
      </c>
      <c r="V50" s="2" t="inlineStr"/>
    </row>
    <row r="51" ht="15" customHeight="1">
      <c r="A51" t="inlineStr">
        <is>
          <t>A 62452-2022</t>
        </is>
      </c>
      <c r="B51" t="inlineStr">
        <is>
          <t>avverkningsanmälan</t>
        </is>
      </c>
      <c r="C51" t="inlineStr">
        <is>
          <t>Föryngringsavverkning</t>
        </is>
      </c>
      <c r="D51" s="1" t="n">
        <v>44916</v>
      </c>
      <c r="E51" s="1" t="n">
        <v>46263</v>
      </c>
      <c r="F51" t="inlineStr">
        <is>
          <t>NORRBOTTENS LÄN</t>
        </is>
      </c>
      <c r="G51" t="inlineStr">
        <is>
          <t>KIRUNA</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62460-2022</t>
        </is>
      </c>
      <c r="B52" t="inlineStr">
        <is>
          <t>avverkningsanmälan</t>
        </is>
      </c>
      <c r="C52" t="inlineStr">
        <is>
          <t>Föryngringsavverkning</t>
        </is>
      </c>
      <c r="D52" s="1" t="n">
        <v>44916</v>
      </c>
      <c r="E52" s="1" t="n">
        <v>46263</v>
      </c>
      <c r="F52" t="inlineStr">
        <is>
          <t>NORRBOTTENS LÄN</t>
        </is>
      </c>
      <c r="G52" t="inlineStr">
        <is>
          <t>KIRUNA</t>
        </is>
      </c>
      <c r="I52" t="n">
        <v>13.4</v>
      </c>
      <c r="J52" t="n">
        <v>0</v>
      </c>
      <c r="K52" t="n">
        <v>0</v>
      </c>
      <c r="L52" t="n">
        <v>0</v>
      </c>
      <c r="M52" t="n">
        <v>0</v>
      </c>
      <c r="N52" t="n">
        <v>0</v>
      </c>
      <c r="O52" t="n">
        <v>0</v>
      </c>
      <c r="P52" t="n">
        <v>0</v>
      </c>
      <c r="Q52" t="n">
        <v>0</v>
      </c>
      <c r="R52" t="n">
        <v>0</v>
      </c>
      <c r="S52" t="n">
        <v>0</v>
      </c>
      <c r="T52" t="n">
        <v>0</v>
      </c>
      <c r="U52" t="n">
        <v>0</v>
      </c>
      <c r="V52" s="2" t="inlineStr"/>
    </row>
    <row r="53" ht="15" customHeight="1">
      <c r="A53" t="inlineStr">
        <is>
          <t>A 47730-2024</t>
        </is>
      </c>
      <c r="B53" t="inlineStr">
        <is>
          <t>avverkningsanmälan</t>
        </is>
      </c>
      <c r="C53" t="inlineStr">
        <is>
          <t>Föryngringsavverkning</t>
        </is>
      </c>
      <c r="D53" s="1" t="n">
        <v>45588</v>
      </c>
      <c r="E53" s="1" t="n">
        <v>46263</v>
      </c>
      <c r="F53" t="inlineStr">
        <is>
          <t>NORRBOTTENS LÄN</t>
        </is>
      </c>
      <c r="G53" t="inlineStr">
        <is>
          <t>KIRUNA</t>
        </is>
      </c>
      <c r="H53" t="inlineStr">
        <is>
          <t>Allmännings- och besparingsskogar</t>
        </is>
      </c>
      <c r="I53" t="n">
        <v>3.7</v>
      </c>
      <c r="J53" t="n">
        <v>0</v>
      </c>
      <c r="K53" t="n">
        <v>0</v>
      </c>
      <c r="L53" t="n">
        <v>0</v>
      </c>
      <c r="M53" t="n">
        <v>0</v>
      </c>
      <c r="N53" t="n">
        <v>0</v>
      </c>
      <c r="O53" t="n">
        <v>0</v>
      </c>
      <c r="P53" t="n">
        <v>0</v>
      </c>
      <c r="Q53" t="n">
        <v>0</v>
      </c>
      <c r="R53" t="n">
        <v>0</v>
      </c>
      <c r="S53" t="n">
        <v>0</v>
      </c>
      <c r="T53" t="n">
        <v>0</v>
      </c>
      <c r="U53" t="n">
        <v>0</v>
      </c>
      <c r="V53" s="2" t="inlineStr"/>
    </row>
    <row r="54" ht="15" customHeight="1">
      <c r="A54" t="inlineStr">
        <is>
          <t>A 36939-2022</t>
        </is>
      </c>
      <c r="B54" t="inlineStr">
        <is>
          <t>avverkningsanmälan</t>
        </is>
      </c>
      <c r="C54" t="inlineStr">
        <is>
          <t>Avverkning för annat ändamål</t>
        </is>
      </c>
      <c r="D54" s="1" t="n">
        <v>44805</v>
      </c>
      <c r="E54" s="1" t="n">
        <v>46263</v>
      </c>
      <c r="F54" t="inlineStr">
        <is>
          <t>NORRBOTTENS LÄN</t>
        </is>
      </c>
      <c r="G54" t="inlineStr">
        <is>
          <t>KIRUNA</t>
        </is>
      </c>
      <c r="I54" t="n">
        <v>3.1</v>
      </c>
      <c r="J54" t="n">
        <v>0</v>
      </c>
      <c r="K54" t="n">
        <v>0</v>
      </c>
      <c r="L54" t="n">
        <v>0</v>
      </c>
      <c r="M54" t="n">
        <v>0</v>
      </c>
      <c r="N54" t="n">
        <v>0</v>
      </c>
      <c r="O54" t="n">
        <v>0</v>
      </c>
      <c r="P54" t="n">
        <v>0</v>
      </c>
      <c r="Q54" t="n">
        <v>0</v>
      </c>
      <c r="R54" t="n">
        <v>0</v>
      </c>
      <c r="S54" t="n">
        <v>0</v>
      </c>
      <c r="T54" t="n">
        <v>0</v>
      </c>
      <c r="U54" t="n">
        <v>0</v>
      </c>
      <c r="V54" s="2" t="inlineStr"/>
    </row>
    <row r="55" ht="15" customHeight="1">
      <c r="A55" t="inlineStr">
        <is>
          <t>A 148-2026</t>
        </is>
      </c>
      <c r="B55" t="inlineStr">
        <is>
          <t>avverkningsanmälan</t>
        </is>
      </c>
      <c r="C55" t="inlineStr">
        <is>
          <t>Föryngringsavverkning</t>
        </is>
      </c>
      <c r="D55" s="1" t="n">
        <v>46024</v>
      </c>
      <c r="E55" s="1" t="n">
        <v>46263</v>
      </c>
      <c r="F55" t="inlineStr">
        <is>
          <t>NORRBOTTENS LÄN</t>
        </is>
      </c>
      <c r="G55" t="inlineStr">
        <is>
          <t>KIRUNA</t>
        </is>
      </c>
      <c r="I55" t="n">
        <v>10.2</v>
      </c>
      <c r="J55" t="n">
        <v>0</v>
      </c>
      <c r="K55" t="n">
        <v>0</v>
      </c>
      <c r="L55" t="n">
        <v>0</v>
      </c>
      <c r="M55" t="n">
        <v>0</v>
      </c>
      <c r="N55" t="n">
        <v>0</v>
      </c>
      <c r="O55" t="n">
        <v>0</v>
      </c>
      <c r="P55" t="n">
        <v>0</v>
      </c>
      <c r="Q55" t="n">
        <v>0</v>
      </c>
      <c r="R55" t="n">
        <v>0</v>
      </c>
      <c r="S55" t="n">
        <v>0</v>
      </c>
      <c r="T55" t="n">
        <v>0</v>
      </c>
      <c r="U55" t="n">
        <v>0</v>
      </c>
      <c r="V55" s="2" t="inlineStr"/>
    </row>
    <row r="56" ht="15" customHeight="1">
      <c r="A56" t="inlineStr">
        <is>
          <t>A 2664-2026</t>
        </is>
      </c>
      <c r="B56" t="inlineStr">
        <is>
          <t>avverkningsanmälan</t>
        </is>
      </c>
      <c r="C56" t="inlineStr">
        <is>
          <t>Föryngringsavverkning</t>
        </is>
      </c>
      <c r="D56" s="1" t="n">
        <v>46037</v>
      </c>
      <c r="E56" s="1" t="n">
        <v>46263</v>
      </c>
      <c r="F56" t="inlineStr">
        <is>
          <t>NORRBOTTENS LÄN</t>
        </is>
      </c>
      <c r="G56" t="inlineStr">
        <is>
          <t>KIRUNA</t>
        </is>
      </c>
      <c r="I56" t="n">
        <v>31.3</v>
      </c>
      <c r="J56" t="n">
        <v>0</v>
      </c>
      <c r="K56" t="n">
        <v>0</v>
      </c>
      <c r="L56" t="n">
        <v>0</v>
      </c>
      <c r="M56" t="n">
        <v>0</v>
      </c>
      <c r="N56" t="n">
        <v>0</v>
      </c>
      <c r="O56" t="n">
        <v>0</v>
      </c>
      <c r="P56" t="n">
        <v>0</v>
      </c>
      <c r="Q56" t="n">
        <v>0</v>
      </c>
      <c r="R56" t="n">
        <v>0</v>
      </c>
      <c r="S56" t="n">
        <v>0</v>
      </c>
      <c r="T56" t="n">
        <v>0</v>
      </c>
      <c r="U56" t="n">
        <v>0</v>
      </c>
      <c r="V56" s="2" t="inlineStr"/>
    </row>
    <row r="57" ht="15" customHeight="1">
      <c r="A57" t="inlineStr">
        <is>
          <t>A 38577-2024</t>
        </is>
      </c>
      <c r="B57" t="inlineStr">
        <is>
          <t>avverkningsanmälan</t>
        </is>
      </c>
      <c r="C57" t="inlineStr">
        <is>
          <t>Föryngringsavverkning</t>
        </is>
      </c>
      <c r="D57" s="1" t="n">
        <v>45546</v>
      </c>
      <c r="E57" s="1" t="n">
        <v>46263</v>
      </c>
      <c r="F57" t="inlineStr">
        <is>
          <t>NORRBOTTENS LÄN</t>
        </is>
      </c>
      <c r="G57" t="inlineStr">
        <is>
          <t>KIRUNA</t>
        </is>
      </c>
      <c r="I57" t="n">
        <v>39.8</v>
      </c>
      <c r="J57" t="n">
        <v>0</v>
      </c>
      <c r="K57" t="n">
        <v>0</v>
      </c>
      <c r="L57" t="n">
        <v>0</v>
      </c>
      <c r="M57" t="n">
        <v>0</v>
      </c>
      <c r="N57" t="n">
        <v>0</v>
      </c>
      <c r="O57" t="n">
        <v>0</v>
      </c>
      <c r="P57" t="n">
        <v>0</v>
      </c>
      <c r="Q57" t="n">
        <v>0</v>
      </c>
      <c r="R57" t="n">
        <v>0</v>
      </c>
      <c r="S57" t="n">
        <v>0</v>
      </c>
      <c r="T57" t="n">
        <v>0</v>
      </c>
      <c r="U57" t="n">
        <v>0</v>
      </c>
      <c r="V57" s="2" t="inlineStr"/>
    </row>
    <row r="58" ht="15" customHeight="1">
      <c r="A58" t="inlineStr">
        <is>
          <t>A 13526-2024</t>
        </is>
      </c>
      <c r="B58" t="inlineStr">
        <is>
          <t>avverkningsanmälan</t>
        </is>
      </c>
      <c r="C58" t="inlineStr">
        <is>
          <t>Föryngringsavverkning</t>
        </is>
      </c>
      <c r="D58" s="1" t="n">
        <v>45387</v>
      </c>
      <c r="E58" s="1" t="n">
        <v>46263</v>
      </c>
      <c r="F58" t="inlineStr">
        <is>
          <t>NORRBOTTENS LÄN</t>
        </is>
      </c>
      <c r="G58" t="inlineStr">
        <is>
          <t>KIRUNA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39247-2023</t>
        </is>
      </c>
      <c r="B59" t="inlineStr">
        <is>
          <t>avverkningsanmälan</t>
        </is>
      </c>
      <c r="C59" t="inlineStr">
        <is>
          <t>Föryngringsavverkning</t>
        </is>
      </c>
      <c r="D59" s="1" t="n">
        <v>45162</v>
      </c>
      <c r="E59" s="1" t="n">
        <v>46263</v>
      </c>
      <c r="F59" t="inlineStr">
        <is>
          <t>NORRBOTTENS LÄN</t>
        </is>
      </c>
      <c r="G59" t="inlineStr">
        <is>
          <t>KIRUNA</t>
        </is>
      </c>
      <c r="I59" t="n">
        <v>11.7</v>
      </c>
      <c r="J59" t="n">
        <v>0</v>
      </c>
      <c r="K59" t="n">
        <v>0</v>
      </c>
      <c r="L59" t="n">
        <v>0</v>
      </c>
      <c r="M59" t="n">
        <v>0</v>
      </c>
      <c r="N59" t="n">
        <v>0</v>
      </c>
      <c r="O59" t="n">
        <v>0</v>
      </c>
      <c r="P59" t="n">
        <v>0</v>
      </c>
      <c r="Q59" t="n">
        <v>0</v>
      </c>
      <c r="R59" t="n">
        <v>0</v>
      </c>
      <c r="S59" t="n">
        <v>0</v>
      </c>
      <c r="T59" t="n">
        <v>0</v>
      </c>
      <c r="U59" t="n">
        <v>0</v>
      </c>
      <c r="V59" s="2" t="inlineStr"/>
    </row>
    <row r="60" ht="15" customHeight="1">
      <c r="A60" t="inlineStr">
        <is>
          <t>A 20744-2024</t>
        </is>
      </c>
      <c r="B60" t="inlineStr">
        <is>
          <t>avverkningsanmälan</t>
        </is>
      </c>
      <c r="C60" t="inlineStr">
        <is>
          <t>Föryngringsavverkning</t>
        </is>
      </c>
      <c r="D60" s="1" t="n">
        <v>45436</v>
      </c>
      <c r="E60" s="1" t="n">
        <v>46263</v>
      </c>
      <c r="F60" t="inlineStr">
        <is>
          <t>NORRBOTTENS LÄN</t>
        </is>
      </c>
      <c r="G60" t="inlineStr">
        <is>
          <t>KIRUNA</t>
        </is>
      </c>
      <c r="I60" t="n">
        <v>9.699999999999999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13405-2026</t>
        </is>
      </c>
      <c r="B61" t="inlineStr">
        <is>
          <t>avverkningsanmälan</t>
        </is>
      </c>
      <c r="C61" t="inlineStr">
        <is>
          <t>Föryngringsavverkning</t>
        </is>
      </c>
      <c r="D61" s="1" t="n">
        <v>46094</v>
      </c>
      <c r="E61" s="1" t="n">
        <v>46263</v>
      </c>
      <c r="F61" t="inlineStr">
        <is>
          <t>NORRBOTTENS LÄN</t>
        </is>
      </c>
      <c r="G61" t="inlineStr">
        <is>
          <t>KIRUNA</t>
        </is>
      </c>
      <c r="I61" t="n">
        <v>24.5</v>
      </c>
      <c r="J61" t="n">
        <v>0</v>
      </c>
      <c r="K61" t="n">
        <v>0</v>
      </c>
      <c r="L61" t="n">
        <v>0</v>
      </c>
      <c r="M61" t="n">
        <v>0</v>
      </c>
      <c r="N61" t="n">
        <v>0</v>
      </c>
      <c r="O61" t="n">
        <v>0</v>
      </c>
      <c r="P61" t="n">
        <v>0</v>
      </c>
      <c r="Q61" t="n">
        <v>0</v>
      </c>
      <c r="R61" t="n">
        <v>0</v>
      </c>
      <c r="S61" t="n">
        <v>0</v>
      </c>
      <c r="T61" t="n">
        <v>0</v>
      </c>
      <c r="U61" t="n">
        <v>0</v>
      </c>
      <c r="V61" s="2" t="inlineStr"/>
    </row>
    <row r="62" ht="15" customHeight="1">
      <c r="A62" t="inlineStr">
        <is>
          <t>A 16197-2026</t>
        </is>
      </c>
      <c r="B62" t="inlineStr">
        <is>
          <t>avverkningsanmälan</t>
        </is>
      </c>
      <c r="C62" t="inlineStr">
        <is>
          <t>Avverkning för annat ändamål</t>
        </is>
      </c>
      <c r="D62" s="1" t="n">
        <v>46108</v>
      </c>
      <c r="E62" s="1" t="n">
        <v>46263</v>
      </c>
      <c r="F62" t="inlineStr">
        <is>
          <t>NORRBOTTENS LÄN</t>
        </is>
      </c>
      <c r="G62" t="inlineStr">
        <is>
          <t>KIRUNA</t>
        </is>
      </c>
      <c r="H62" t="inlineStr">
        <is>
          <t>Övriga statliga verk och myndigheter</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18738-2022</t>
        </is>
      </c>
      <c r="B63" t="inlineStr">
        <is>
          <t>avverkningsanmälan</t>
        </is>
      </c>
      <c r="C63" t="inlineStr">
        <is>
          <t>Avverkning för annat ändamål</t>
        </is>
      </c>
      <c r="D63" s="1" t="n">
        <v>44687</v>
      </c>
      <c r="E63" s="1" t="n">
        <v>46263</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18388-2026</t>
        </is>
      </c>
      <c r="B64" t="inlineStr">
        <is>
          <t>avverkningsanmälan</t>
        </is>
      </c>
      <c r="C64" t="inlineStr">
        <is>
          <t>Föryngringsavverkning</t>
        </is>
      </c>
      <c r="D64" s="1" t="n">
        <v>46126</v>
      </c>
      <c r="E64" s="1" t="n">
        <v>46263</v>
      </c>
      <c r="F64" t="inlineStr">
        <is>
          <t>NORRBOTTENS LÄN</t>
        </is>
      </c>
      <c r="G64" t="inlineStr">
        <is>
          <t>KIRUNA</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12937-2026</t>
        </is>
      </c>
      <c r="B65" t="inlineStr">
        <is>
          <t>avverkningsanmälan</t>
        </is>
      </c>
      <c r="C65" t="inlineStr">
        <is>
          <t>Föryngringsavverkning</t>
        </is>
      </c>
      <c r="D65" s="1" t="n">
        <v>46092</v>
      </c>
      <c r="E65" s="1" t="n">
        <v>46263</v>
      </c>
      <c r="F65" t="inlineStr">
        <is>
          <t>NORRBOTTENS LÄN</t>
        </is>
      </c>
      <c r="G65" t="inlineStr">
        <is>
          <t>KIRUNA</t>
        </is>
      </c>
      <c r="I65" t="n">
        <v>37.2</v>
      </c>
      <c r="J65" t="n">
        <v>0</v>
      </c>
      <c r="K65" t="n">
        <v>0</v>
      </c>
      <c r="L65" t="n">
        <v>0</v>
      </c>
      <c r="M65" t="n">
        <v>0</v>
      </c>
      <c r="N65" t="n">
        <v>0</v>
      </c>
      <c r="O65" t="n">
        <v>0</v>
      </c>
      <c r="P65" t="n">
        <v>0</v>
      </c>
      <c r="Q65" t="n">
        <v>0</v>
      </c>
      <c r="R65" t="n">
        <v>0</v>
      </c>
      <c r="S65" t="n">
        <v>0</v>
      </c>
      <c r="T65" t="n">
        <v>0</v>
      </c>
      <c r="U65" t="n">
        <v>0</v>
      </c>
      <c r="V65" s="2" t="inlineStr"/>
    </row>
    <row r="66" ht="15" customHeight="1">
      <c r="A66" t="inlineStr">
        <is>
          <t>A 12984-2026</t>
        </is>
      </c>
      <c r="B66" t="inlineStr">
        <is>
          <t>avverkningsanmälan</t>
        </is>
      </c>
      <c r="C66" t="inlineStr">
        <is>
          <t>Föryngringsavverkning</t>
        </is>
      </c>
      <c r="D66" s="1" t="n">
        <v>46092</v>
      </c>
      <c r="E66" s="1" t="n">
        <v>46263</v>
      </c>
      <c r="F66" t="inlineStr">
        <is>
          <t>NORRBOTTENS LÄN</t>
        </is>
      </c>
      <c r="G66" t="inlineStr">
        <is>
          <t>KIRUNA</t>
        </is>
      </c>
      <c r="I66" t="n">
        <v>18.2</v>
      </c>
      <c r="J66" t="n">
        <v>0</v>
      </c>
      <c r="K66" t="n">
        <v>0</v>
      </c>
      <c r="L66" t="n">
        <v>0</v>
      </c>
      <c r="M66" t="n">
        <v>0</v>
      </c>
      <c r="N66" t="n">
        <v>0</v>
      </c>
      <c r="O66" t="n">
        <v>0</v>
      </c>
      <c r="P66" t="n">
        <v>0</v>
      </c>
      <c r="Q66" t="n">
        <v>0</v>
      </c>
      <c r="R66" t="n">
        <v>0</v>
      </c>
      <c r="S66" t="n">
        <v>0</v>
      </c>
      <c r="T66" t="n">
        <v>0</v>
      </c>
      <c r="U66" t="n">
        <v>0</v>
      </c>
      <c r="V66" s="2" t="inlineStr"/>
    </row>
    <row r="67" ht="15" customHeight="1">
      <c r="A67" t="inlineStr">
        <is>
          <t>A 12969-2026</t>
        </is>
      </c>
      <c r="B67" t="inlineStr">
        <is>
          <t>avverkningsanmälan</t>
        </is>
      </c>
      <c r="C67" t="inlineStr">
        <is>
          <t>Föryngringsavverkning</t>
        </is>
      </c>
      <c r="D67" s="1" t="n">
        <v>46092</v>
      </c>
      <c r="E67" s="1" t="n">
        <v>46263</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46263</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46263</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46263</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46263</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46263</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46263</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5533-2024</t>
        </is>
      </c>
      <c r="B74" t="inlineStr">
        <is>
          <t>avverkningsanmälan</t>
        </is>
      </c>
      <c r="C74" t="inlineStr">
        <is>
          <t>Avverkning för annat ändamål</t>
        </is>
      </c>
      <c r="D74" s="1" t="n">
        <v>45334</v>
      </c>
      <c r="E74" s="1" t="n">
        <v>46263</v>
      </c>
      <c r="F74" t="inlineStr">
        <is>
          <t>NORRBOTTENS LÄN</t>
        </is>
      </c>
      <c r="G74" t="inlineStr">
        <is>
          <t>KIRUNA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56168-2023</t>
        </is>
      </c>
      <c r="B75" t="inlineStr">
        <is>
          <t>avverkningsanmälan</t>
        </is>
      </c>
      <c r="C75" t="inlineStr">
        <is>
          <t>Avverkning för annat ändamål</t>
        </is>
      </c>
      <c r="D75" s="1" t="n">
        <v>45236</v>
      </c>
      <c r="E75" s="1" t="n">
        <v>46263</v>
      </c>
      <c r="F75" t="inlineStr">
        <is>
          <t>NORRBOTTENS LÄN</t>
        </is>
      </c>
      <c r="G75" t="inlineStr">
        <is>
          <t>KIRUNA</t>
        </is>
      </c>
      <c r="H75" t="inlineStr">
        <is>
          <t>Sveaskog</t>
        </is>
      </c>
      <c r="I75" t="n">
        <v>6.6</v>
      </c>
      <c r="J75" t="n">
        <v>0</v>
      </c>
      <c r="K75" t="n">
        <v>0</v>
      </c>
      <c r="L75" t="n">
        <v>0</v>
      </c>
      <c r="M75" t="n">
        <v>0</v>
      </c>
      <c r="N75" t="n">
        <v>0</v>
      </c>
      <c r="O75" t="n">
        <v>0</v>
      </c>
      <c r="P75" t="n">
        <v>0</v>
      </c>
      <c r="Q75" t="n">
        <v>0</v>
      </c>
      <c r="R75" t="n">
        <v>0</v>
      </c>
      <c r="S75" t="n">
        <v>0</v>
      </c>
      <c r="T75" t="n">
        <v>0</v>
      </c>
      <c r="U75" t="n">
        <v>0</v>
      </c>
      <c r="V75" s="2" t="inlineStr"/>
    </row>
    <row r="76" ht="15" customHeight="1">
      <c r="A76" t="inlineStr">
        <is>
          <t>A 8350-2025</t>
        </is>
      </c>
      <c r="B76" t="inlineStr">
        <is>
          <t>avverkningsanmälan</t>
        </is>
      </c>
      <c r="C76" t="inlineStr">
        <is>
          <t>Avverkning för annat ändamål</t>
        </is>
      </c>
      <c r="D76" s="1" t="n">
        <v>45708</v>
      </c>
      <c r="E76" s="1" t="n">
        <v>46263</v>
      </c>
      <c r="F76" t="inlineStr">
        <is>
          <t>NORRBOTTENS LÄN</t>
        </is>
      </c>
      <c r="G76" t="inlineStr">
        <is>
          <t>KIRUNA</t>
        </is>
      </c>
      <c r="H76" t="inlineStr">
        <is>
          <t>Övriga statliga verk och myndigheter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46263</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29167-2026</t>
        </is>
      </c>
      <c r="B78" t="inlineStr">
        <is>
          <t>avverkningsanmälan</t>
        </is>
      </c>
      <c r="C78" t="inlineStr">
        <is>
          <t>Föryngringsavverkning</t>
        </is>
      </c>
      <c r="D78" s="1" t="n">
        <v>46202</v>
      </c>
      <c r="E78" s="1" t="n">
        <v>46263</v>
      </c>
      <c r="F78" t="inlineStr">
        <is>
          <t>NORRBOTTENS LÄN</t>
        </is>
      </c>
      <c r="G78" t="inlineStr">
        <is>
          <t>KIRUNA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29048-2026</t>
        </is>
      </c>
      <c r="B79" t="inlineStr">
        <is>
          <t>avverkningsanmälan</t>
        </is>
      </c>
      <c r="C79" t="inlineStr">
        <is>
          <t>Föryngringsavverkning</t>
        </is>
      </c>
      <c r="D79" s="1" t="n">
        <v>46199</v>
      </c>
      <c r="E79" s="1" t="n">
        <v>46263</v>
      </c>
      <c r="F79" t="inlineStr">
        <is>
          <t>NORRBOTTENS LÄN</t>
        </is>
      </c>
      <c r="G79" t="inlineStr">
        <is>
          <t>KIRUNA</t>
        </is>
      </c>
      <c r="I79" t="n">
        <v>16.9</v>
      </c>
      <c r="J79" t="n">
        <v>0</v>
      </c>
      <c r="K79" t="n">
        <v>0</v>
      </c>
      <c r="L79" t="n">
        <v>0</v>
      </c>
      <c r="M79" t="n">
        <v>0</v>
      </c>
      <c r="N79" t="n">
        <v>0</v>
      </c>
      <c r="O79" t="n">
        <v>0</v>
      </c>
      <c r="P79" t="n">
        <v>0</v>
      </c>
      <c r="Q79" t="n">
        <v>0</v>
      </c>
      <c r="R79" t="n">
        <v>0</v>
      </c>
      <c r="S79" t="n">
        <v>0</v>
      </c>
      <c r="T79" t="n">
        <v>0</v>
      </c>
      <c r="U79" t="n">
        <v>0</v>
      </c>
      <c r="V79" s="2" t="inlineStr"/>
    </row>
    <row r="80" ht="15" customHeight="1">
      <c r="A80" t="inlineStr">
        <is>
          <t>A 29231-2026</t>
        </is>
      </c>
      <c r="B80" t="inlineStr">
        <is>
          <t>avverkningsanmälan</t>
        </is>
      </c>
      <c r="C80" t="inlineStr">
        <is>
          <t>Föryngringsavverkning</t>
        </is>
      </c>
      <c r="D80" s="1" t="n">
        <v>46202</v>
      </c>
      <c r="E80" s="1" t="n">
        <v>46263</v>
      </c>
      <c r="F80" t="inlineStr">
        <is>
          <t>NORRBOTTENS LÄN</t>
        </is>
      </c>
      <c r="G80" t="inlineStr">
        <is>
          <t>KIRUNA</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30562-2026</t>
        </is>
      </c>
      <c r="B81" t="inlineStr">
        <is>
          <t>avverkningsanmälan</t>
        </is>
      </c>
      <c r="C81" t="inlineStr">
        <is>
          <t>Föryngringsavverkning</t>
        </is>
      </c>
      <c r="D81" s="1" t="n">
        <v>46210</v>
      </c>
      <c r="E81" s="1" t="n">
        <v>46263</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30594-2026</t>
        </is>
      </c>
      <c r="B82" t="inlineStr">
        <is>
          <t>avverkningsanmälan</t>
        </is>
      </c>
      <c r="C82" t="inlineStr">
        <is>
          <t>Föryngringsavverkning</t>
        </is>
      </c>
      <c r="D82" s="1" t="n">
        <v>46210</v>
      </c>
      <c r="E82" s="1" t="n">
        <v>46263</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30591-2026</t>
        </is>
      </c>
      <c r="B83" t="inlineStr">
        <is>
          <t>avverkningsanmälan</t>
        </is>
      </c>
      <c r="C83" t="inlineStr">
        <is>
          <t>Föryngringsavverkning</t>
        </is>
      </c>
      <c r="D83" s="1" t="n">
        <v>46210</v>
      </c>
      <c r="E83" s="1" t="n">
        <v>46263</v>
      </c>
      <c r="F83" t="inlineStr">
        <is>
          <t>NORRBOTTENS LÄN</t>
        </is>
      </c>
      <c r="G83" t="inlineStr">
        <is>
          <t>KIRUNA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28533-2026</t>
        </is>
      </c>
      <c r="B84" t="inlineStr">
        <is>
          <t>avverkningsanmälan</t>
        </is>
      </c>
      <c r="C84" t="inlineStr">
        <is>
          <t>Föryngringsavverkning</t>
        </is>
      </c>
      <c r="D84" s="1" t="n">
        <v>46197</v>
      </c>
      <c r="E84" s="1" t="n">
        <v>46263</v>
      </c>
      <c r="F84" t="inlineStr">
        <is>
          <t>NORRBOTTENS LÄN</t>
        </is>
      </c>
      <c r="G84" t="inlineStr">
        <is>
          <t>KIRUNA</t>
        </is>
      </c>
      <c r="I84" t="n">
        <v>54.2</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46263</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46263</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2026-08-29T01:54:55Z</dcterms:created>
  <dcterms:modified xmlns:dcterms="http://purl.org/dc/terms/" xmlns:xsi="http://www.w3.org/2001/XMLSchema-instance" xsi:type="dcterms:W3CDTF">2026-08-29T01:54:55Z</dcterms:modified>
</cp:coreProperties>
</file>