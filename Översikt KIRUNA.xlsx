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46295</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46295</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46295</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46295</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46295</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46295</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46295</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29048-2026</t>
        </is>
      </c>
      <c r="B9" t="inlineStr">
        <is>
          <t>avverkningsanmälan</t>
        </is>
      </c>
      <c r="C9" t="inlineStr">
        <is>
          <t>Föryngringsavverkning</t>
        </is>
      </c>
      <c r="D9" s="1" t="n">
        <v>46199</v>
      </c>
      <c r="E9" s="1" t="n">
        <v>46295</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46295</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46295</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46295</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46295</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46295</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46295</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46295</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46295</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46295</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46295</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46295</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17740-2023</t>
        </is>
      </c>
      <c r="B21" t="inlineStr">
        <is>
          <t>avverkningsanmälan</t>
        </is>
      </c>
      <c r="C21" t="inlineStr">
        <is>
          <t>Föryngringsavverkning</t>
        </is>
      </c>
      <c r="D21" s="1" t="n">
        <v>45035</v>
      </c>
      <c r="E21" s="1" t="n">
        <v>46295</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53264-2023</t>
        </is>
      </c>
      <c r="B22" t="inlineStr">
        <is>
          <t>avverkningsanmälan</t>
        </is>
      </c>
      <c r="C22" t="inlineStr">
        <is>
          <t>Föryngringsavverkning</t>
        </is>
      </c>
      <c r="D22" s="1" t="n">
        <v>45222</v>
      </c>
      <c r="E22" s="1" t="n">
        <v>46295</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58860-2022</t>
        </is>
      </c>
      <c r="B23" t="inlineStr">
        <is>
          <t>avverkningsanmälan</t>
        </is>
      </c>
      <c r="C23" t="inlineStr">
        <is>
          <t>Avverkning för annat ändamål</t>
        </is>
      </c>
      <c r="D23" s="1" t="n">
        <v>44896</v>
      </c>
      <c r="E23" s="1" t="n">
        <v>46295</v>
      </c>
      <c r="F23" t="inlineStr">
        <is>
          <t>NORRBOTTENS LÄN</t>
        </is>
      </c>
      <c r="G23" t="inlineStr">
        <is>
          <t>KIRUNA</t>
        </is>
      </c>
      <c r="I23" t="n">
        <v>0.3</v>
      </c>
      <c r="J23" t="n">
        <v>2</v>
      </c>
      <c r="K23" t="n">
        <v>0</v>
      </c>
      <c r="L23" t="n">
        <v>0</v>
      </c>
      <c r="M23" t="n">
        <v>0</v>
      </c>
      <c r="N23" t="n">
        <v>1</v>
      </c>
      <c r="O23" t="n">
        <v>0</v>
      </c>
      <c r="P23" t="n">
        <v>0</v>
      </c>
      <c r="Q23" t="n">
        <v>1</v>
      </c>
      <c r="R23" t="n">
        <v>1</v>
      </c>
      <c r="S23" t="n">
        <v>2</v>
      </c>
      <c r="T23" t="n">
        <v>2</v>
      </c>
      <c r="U23" t="n">
        <v>2</v>
      </c>
      <c r="V23" s="2" t="inlineStr">
        <is>
          <t>Brun glada
Salskrake</t>
        </is>
      </c>
      <c r="W23">
        <f>HYPERLINK("https://klasma.github.io/Logging_2584/artfynd/A 58860-2022 artfynd.xlsx", "A 58860-2022")</f>
        <v/>
      </c>
      <c r="X23">
        <f>HYPERLINK("https://klasma.github.io/Logging_2584/kartor/A 58860-2022 karta.png", "A 58860-2022")</f>
        <v/>
      </c>
      <c r="Y23">
        <f>HYPERLINK("https://klasma.github.io/Logging_2584/kartor_geotiff/A 58860-2022 georefererad karta.tif", "A 58860-2022")</f>
        <v/>
      </c>
      <c r="AA23">
        <f>HYPERLINK("https://klasma.github.io/Logging_2584/klagomål/A 58860-2022 FSC-klagomål.docx", "A 58860-2022")</f>
        <v/>
      </c>
      <c r="AB23">
        <f>HYPERLINK("https://klasma.github.io/Logging_2584/klagomålsmail/A 58860-2022 FSC-klagomål mail.docx", "A 58860-2022")</f>
        <v/>
      </c>
      <c r="AC23">
        <f>HYPERLINK("https://klasma.github.io/Logging_2584/tillsyn/A 58860-2022 tillsynsbegäran.docx", "A 58860-2022")</f>
        <v/>
      </c>
      <c r="AD23">
        <f>HYPERLINK("https://klasma.github.io/Logging_2584/tillsynsmail/A 58860-2022 tillsynsbegäran mail.docx", "A 58860-2022")</f>
        <v/>
      </c>
      <c r="AE23">
        <f>HYPERLINK("https://klasma.github.io/Logging_2584/fåglar/A 58860-2022 prioriterade fågelarter.docx", "A 58860-2022")</f>
        <v/>
      </c>
    </row>
    <row r="24" ht="15" customHeight="1">
      <c r="A24" t="inlineStr">
        <is>
          <t>A 53264-2023</t>
        </is>
      </c>
      <c r="B24" t="inlineStr">
        <is>
          <t>avverkningsanmälan</t>
        </is>
      </c>
      <c r="C24" t="inlineStr">
        <is>
          <t>Föryngringsavverkning</t>
        </is>
      </c>
      <c r="D24" s="1" t="n">
        <v>45222</v>
      </c>
      <c r="E24" s="1" t="n">
        <v>46295</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46295</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46295</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46295</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46295</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46295</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46295</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46295</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35757-2026</t>
        </is>
      </c>
      <c r="B32" t="inlineStr">
        <is>
          <t>avverkningsanmälan</t>
        </is>
      </c>
      <c r="C32" t="inlineStr">
        <is>
          <t>Föryngringsavverkning</t>
        </is>
      </c>
      <c r="D32" s="1" t="n">
        <v>46265</v>
      </c>
      <c r="E32" s="1" t="n">
        <v>46295</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46295</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46295</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46295</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46295</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46295</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46295</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148-2026</t>
        </is>
      </c>
      <c r="B39" t="inlineStr">
        <is>
          <t>avverkningsanmälan</t>
        </is>
      </c>
      <c r="C39" t="inlineStr">
        <is>
          <t>Föryngringsavverkning</t>
        </is>
      </c>
      <c r="D39" s="1" t="n">
        <v>46024</v>
      </c>
      <c r="E39" s="1" t="n">
        <v>46295</v>
      </c>
      <c r="F39" t="inlineStr">
        <is>
          <t>NORRBOTTENS LÄN</t>
        </is>
      </c>
      <c r="G39" t="inlineStr">
        <is>
          <t>KIRUNA</t>
        </is>
      </c>
      <c r="I39" t="n">
        <v>10.2</v>
      </c>
      <c r="J39" t="n">
        <v>0</v>
      </c>
      <c r="K39" t="n">
        <v>0</v>
      </c>
      <c r="L39" t="n">
        <v>0</v>
      </c>
      <c r="M39" t="n">
        <v>0</v>
      </c>
      <c r="N39" t="n">
        <v>0</v>
      </c>
      <c r="O39" t="n">
        <v>0</v>
      </c>
      <c r="P39" t="n">
        <v>0</v>
      </c>
      <c r="Q39" t="n">
        <v>0</v>
      </c>
      <c r="R39" t="n">
        <v>0</v>
      </c>
      <c r="S39" t="n">
        <v>0</v>
      </c>
      <c r="T39" t="n">
        <v>0</v>
      </c>
      <c r="U39" t="n">
        <v>0</v>
      </c>
      <c r="V39" s="2" t="inlineStr"/>
    </row>
    <row r="40" ht="15" customHeight="1">
      <c r="A40" t="inlineStr">
        <is>
          <t>A 22494-2024</t>
        </is>
      </c>
      <c r="B40" t="inlineStr">
        <is>
          <t>avverkningsanmälan</t>
        </is>
      </c>
      <c r="C40" t="inlineStr">
        <is>
          <t>Föryngringsavverkning</t>
        </is>
      </c>
      <c r="D40" s="1" t="n">
        <v>45447</v>
      </c>
      <c r="E40" s="1" t="n">
        <v>46295</v>
      </c>
      <c r="F40" t="inlineStr">
        <is>
          <t>NORRBOTTENS LÄN</t>
        </is>
      </c>
      <c r="G40" t="inlineStr">
        <is>
          <t>KIRUNA</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50590-2023</t>
        </is>
      </c>
      <c r="B41" t="inlineStr">
        <is>
          <t>avverkningsanmälan</t>
        </is>
      </c>
      <c r="C41" t="inlineStr">
        <is>
          <t>Föryngringsavverkning</t>
        </is>
      </c>
      <c r="D41" s="1" t="n">
        <v>45217</v>
      </c>
      <c r="E41" s="1" t="n">
        <v>46295</v>
      </c>
      <c r="F41" t="inlineStr">
        <is>
          <t>NORRBOTTENS LÄN</t>
        </is>
      </c>
      <c r="G41" t="inlineStr">
        <is>
          <t>KIRUNA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9069-2023</t>
        </is>
      </c>
      <c r="B42" t="inlineStr">
        <is>
          <t>avverkningsanmälan</t>
        </is>
      </c>
      <c r="C42" t="inlineStr">
        <is>
          <t>Föryngringsavverkning</t>
        </is>
      </c>
      <c r="D42" s="1" t="n">
        <v>44979</v>
      </c>
      <c r="E42" s="1" t="n">
        <v>46295</v>
      </c>
      <c r="F42" t="inlineStr">
        <is>
          <t>NORRBOTTENS LÄN</t>
        </is>
      </c>
      <c r="G42" t="inlineStr">
        <is>
          <t>KIRUNA</t>
        </is>
      </c>
      <c r="H42" t="inlineStr">
        <is>
          <t>SCA</t>
        </is>
      </c>
      <c r="I42" t="n">
        <v>4</v>
      </c>
      <c r="J42" t="n">
        <v>0</v>
      </c>
      <c r="K42" t="n">
        <v>0</v>
      </c>
      <c r="L42" t="n">
        <v>0</v>
      </c>
      <c r="M42" t="n">
        <v>0</v>
      </c>
      <c r="N42" t="n">
        <v>0</v>
      </c>
      <c r="O42" t="n">
        <v>0</v>
      </c>
      <c r="P42" t="n">
        <v>0</v>
      </c>
      <c r="Q42" t="n">
        <v>0</v>
      </c>
      <c r="R42" t="n">
        <v>0</v>
      </c>
      <c r="S42" t="n">
        <v>0</v>
      </c>
      <c r="T42" t="n">
        <v>0</v>
      </c>
      <c r="U42" t="n">
        <v>0</v>
      </c>
      <c r="V42" s="2" t="inlineStr"/>
    </row>
    <row r="43" ht="15" customHeight="1">
      <c r="A43" t="inlineStr">
        <is>
          <t>A 62439-2022</t>
        </is>
      </c>
      <c r="B43" t="inlineStr">
        <is>
          <t>avverkningsanmälan</t>
        </is>
      </c>
      <c r="C43" t="inlineStr">
        <is>
          <t>Föryngringsavverkning</t>
        </is>
      </c>
      <c r="D43" s="1" t="n">
        <v>44916</v>
      </c>
      <c r="E43" s="1" t="n">
        <v>46295</v>
      </c>
      <c r="F43" t="inlineStr">
        <is>
          <t>NORRBOTTENS LÄN</t>
        </is>
      </c>
      <c r="G43" t="inlineStr">
        <is>
          <t>KIRUNA</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2664-2026</t>
        </is>
      </c>
      <c r="B44" t="inlineStr">
        <is>
          <t>avverkningsanmälan</t>
        </is>
      </c>
      <c r="C44" t="inlineStr">
        <is>
          <t>Föryngringsavverkning</t>
        </is>
      </c>
      <c r="D44" s="1" t="n">
        <v>46037</v>
      </c>
      <c r="E44" s="1" t="n">
        <v>46295</v>
      </c>
      <c r="F44" t="inlineStr">
        <is>
          <t>NORRBOTTENS LÄN</t>
        </is>
      </c>
      <c r="G44" t="inlineStr">
        <is>
          <t>KIRUNA</t>
        </is>
      </c>
      <c r="I44" t="n">
        <v>31.3</v>
      </c>
      <c r="J44" t="n">
        <v>0</v>
      </c>
      <c r="K44" t="n">
        <v>0</v>
      </c>
      <c r="L44" t="n">
        <v>0</v>
      </c>
      <c r="M44" t="n">
        <v>0</v>
      </c>
      <c r="N44" t="n">
        <v>0</v>
      </c>
      <c r="O44" t="n">
        <v>0</v>
      </c>
      <c r="P44" t="n">
        <v>0</v>
      </c>
      <c r="Q44" t="n">
        <v>0</v>
      </c>
      <c r="R44" t="n">
        <v>0</v>
      </c>
      <c r="S44" t="n">
        <v>0</v>
      </c>
      <c r="T44" t="n">
        <v>0</v>
      </c>
      <c r="U44" t="n">
        <v>0</v>
      </c>
      <c r="V44" s="2" t="inlineStr"/>
    </row>
    <row r="45" ht="15" customHeight="1">
      <c r="A45" t="inlineStr">
        <is>
          <t>A 22504-2024</t>
        </is>
      </c>
      <c r="B45" t="inlineStr">
        <is>
          <t>avverkningsanmälan</t>
        </is>
      </c>
      <c r="C45" t="inlineStr">
        <is>
          <t>Föryngringsavverkning</t>
        </is>
      </c>
      <c r="D45" s="1" t="n">
        <v>45447</v>
      </c>
      <c r="E45" s="1" t="n">
        <v>46295</v>
      </c>
      <c r="F45" t="inlineStr">
        <is>
          <t>NORRBOTTENS LÄN</t>
        </is>
      </c>
      <c r="G45" t="inlineStr">
        <is>
          <t>KIRUNA</t>
        </is>
      </c>
      <c r="I45" t="n">
        <v>15.6</v>
      </c>
      <c r="J45" t="n">
        <v>0</v>
      </c>
      <c r="K45" t="n">
        <v>0</v>
      </c>
      <c r="L45" t="n">
        <v>0</v>
      </c>
      <c r="M45" t="n">
        <v>0</v>
      </c>
      <c r="N45" t="n">
        <v>0</v>
      </c>
      <c r="O45" t="n">
        <v>0</v>
      </c>
      <c r="P45" t="n">
        <v>0</v>
      </c>
      <c r="Q45" t="n">
        <v>0</v>
      </c>
      <c r="R45" t="n">
        <v>0</v>
      </c>
      <c r="S45" t="n">
        <v>0</v>
      </c>
      <c r="T45" t="n">
        <v>0</v>
      </c>
      <c r="U45" t="n">
        <v>0</v>
      </c>
      <c r="V45" s="2" t="inlineStr"/>
    </row>
    <row r="46" ht="15" customHeight="1">
      <c r="A46" t="inlineStr">
        <is>
          <t>A 5476-2024</t>
        </is>
      </c>
      <c r="B46" t="inlineStr">
        <is>
          <t>avverkningsanmälan</t>
        </is>
      </c>
      <c r="C46" t="inlineStr">
        <is>
          <t>Föryngringsavverkning</t>
        </is>
      </c>
      <c r="D46" s="1" t="n">
        <v>45333</v>
      </c>
      <c r="E46" s="1" t="n">
        <v>46295</v>
      </c>
      <c r="F46" t="inlineStr">
        <is>
          <t>NORRBOTTENS LÄN</t>
        </is>
      </c>
      <c r="G46" t="inlineStr">
        <is>
          <t>KIRUNA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34664-2025</t>
        </is>
      </c>
      <c r="B47" t="inlineStr">
        <is>
          <t>avverkningsanmälan</t>
        </is>
      </c>
      <c r="C47" t="inlineStr">
        <is>
          <t>Föryngringsavverkning</t>
        </is>
      </c>
      <c r="D47" s="1" t="n">
        <v>45848</v>
      </c>
      <c r="E47" s="1" t="n">
        <v>46295</v>
      </c>
      <c r="F47" t="inlineStr">
        <is>
          <t>NORRBOTTENS LÄN</t>
        </is>
      </c>
      <c r="G47" t="inlineStr">
        <is>
          <t>KIRUNA</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34663-2025</t>
        </is>
      </c>
      <c r="B48" t="inlineStr">
        <is>
          <t>avverkningsanmälan</t>
        </is>
      </c>
      <c r="C48" t="inlineStr">
        <is>
          <t>Föryngringsavverkning</t>
        </is>
      </c>
      <c r="D48" s="1" t="n">
        <v>45848</v>
      </c>
      <c r="E48" s="1" t="n">
        <v>46295</v>
      </c>
      <c r="F48" t="inlineStr">
        <is>
          <t>NORRBOTTENS LÄN</t>
        </is>
      </c>
      <c r="G48" t="inlineStr">
        <is>
          <t>KIRUNA</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46295</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18721-2024</t>
        </is>
      </c>
      <c r="B50" t="inlineStr">
        <is>
          <t>avverkningsanmälan</t>
        </is>
      </c>
      <c r="C50" t="inlineStr">
        <is>
          <t>Föryngringsavverkning</t>
        </is>
      </c>
      <c r="D50" s="1" t="n">
        <v>45426</v>
      </c>
      <c r="E50" s="1" t="n">
        <v>46295</v>
      </c>
      <c r="F50" t="inlineStr">
        <is>
          <t>NORRBOTTENS LÄN</t>
        </is>
      </c>
      <c r="G50" t="inlineStr">
        <is>
          <t>KIRUNA</t>
        </is>
      </c>
      <c r="I50" t="n">
        <v>62.1</v>
      </c>
      <c r="J50" t="n">
        <v>0</v>
      </c>
      <c r="K50" t="n">
        <v>0</v>
      </c>
      <c r="L50" t="n">
        <v>0</v>
      </c>
      <c r="M50" t="n">
        <v>0</v>
      </c>
      <c r="N50" t="n">
        <v>0</v>
      </c>
      <c r="O50" t="n">
        <v>0</v>
      </c>
      <c r="P50" t="n">
        <v>0</v>
      </c>
      <c r="Q50" t="n">
        <v>0</v>
      </c>
      <c r="R50" t="n">
        <v>0</v>
      </c>
      <c r="S50" t="n">
        <v>0</v>
      </c>
      <c r="T50" t="n">
        <v>0</v>
      </c>
      <c r="U50" t="n">
        <v>0</v>
      </c>
      <c r="V50" s="2" t="inlineStr"/>
    </row>
    <row r="51" ht="15" customHeight="1">
      <c r="A51" t="inlineStr">
        <is>
          <t>A 21184-2025</t>
        </is>
      </c>
      <c r="B51" t="inlineStr">
        <is>
          <t>avverkningsanmälan</t>
        </is>
      </c>
      <c r="C51" t="inlineStr">
        <is>
          <t>Föryngringsavverkning</t>
        </is>
      </c>
      <c r="D51" s="1" t="n">
        <v>45777</v>
      </c>
      <c r="E51" s="1" t="n">
        <v>46295</v>
      </c>
      <c r="F51" t="inlineStr">
        <is>
          <t>NORRBOTTENS LÄN</t>
        </is>
      </c>
      <c r="G51" t="inlineStr">
        <is>
          <t>KIRUNA</t>
        </is>
      </c>
      <c r="I51" t="n">
        <v>20.1</v>
      </c>
      <c r="J51" t="n">
        <v>0</v>
      </c>
      <c r="K51" t="n">
        <v>0</v>
      </c>
      <c r="L51" t="n">
        <v>0</v>
      </c>
      <c r="M51" t="n">
        <v>0</v>
      </c>
      <c r="N51" t="n">
        <v>0</v>
      </c>
      <c r="O51" t="n">
        <v>0</v>
      </c>
      <c r="P51" t="n">
        <v>0</v>
      </c>
      <c r="Q51" t="n">
        <v>0</v>
      </c>
      <c r="R51" t="n">
        <v>0</v>
      </c>
      <c r="S51" t="n">
        <v>0</v>
      </c>
      <c r="T51" t="n">
        <v>0</v>
      </c>
      <c r="U51" t="n">
        <v>0</v>
      </c>
      <c r="V51" s="2" t="inlineStr"/>
    </row>
    <row r="52" ht="15" customHeight="1">
      <c r="A52" t="inlineStr">
        <is>
          <t>A 20893-2025</t>
        </is>
      </c>
      <c r="B52" t="inlineStr">
        <is>
          <t>avverkningsanmälan</t>
        </is>
      </c>
      <c r="C52" t="inlineStr">
        <is>
          <t>Föryngringsavverkning</t>
        </is>
      </c>
      <c r="D52" s="1" t="n">
        <v>45776</v>
      </c>
      <c r="E52" s="1" t="n">
        <v>46295</v>
      </c>
      <c r="F52" t="inlineStr">
        <is>
          <t>NORRBOTTENS LÄN</t>
        </is>
      </c>
      <c r="G52" t="inlineStr">
        <is>
          <t>KIRUNA</t>
        </is>
      </c>
      <c r="I52" t="n">
        <v>27.3</v>
      </c>
      <c r="J52" t="n">
        <v>0</v>
      </c>
      <c r="K52" t="n">
        <v>0</v>
      </c>
      <c r="L52" t="n">
        <v>0</v>
      </c>
      <c r="M52" t="n">
        <v>0</v>
      </c>
      <c r="N52" t="n">
        <v>0</v>
      </c>
      <c r="O52" t="n">
        <v>0</v>
      </c>
      <c r="P52" t="n">
        <v>0</v>
      </c>
      <c r="Q52" t="n">
        <v>0</v>
      </c>
      <c r="R52" t="n">
        <v>0</v>
      </c>
      <c r="S52" t="n">
        <v>0</v>
      </c>
      <c r="T52" t="n">
        <v>0</v>
      </c>
      <c r="U52" t="n">
        <v>0</v>
      </c>
      <c r="V52" s="2" t="inlineStr"/>
    </row>
    <row r="53" ht="15" customHeight="1">
      <c r="A53" t="inlineStr">
        <is>
          <t>A 9068-2023</t>
        </is>
      </c>
      <c r="B53" t="inlineStr">
        <is>
          <t>avverkningsanmälan</t>
        </is>
      </c>
      <c r="C53" t="inlineStr">
        <is>
          <t>Föryngringsavverkning</t>
        </is>
      </c>
      <c r="D53" s="1" t="n">
        <v>44979</v>
      </c>
      <c r="E53" s="1" t="n">
        <v>46295</v>
      </c>
      <c r="F53" t="inlineStr">
        <is>
          <t>NORRBOTTENS LÄN</t>
        </is>
      </c>
      <c r="G53" t="inlineStr">
        <is>
          <t>KIRUNA</t>
        </is>
      </c>
      <c r="H53" t="inlineStr">
        <is>
          <t>SCA</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23469-2022</t>
        </is>
      </c>
      <c r="B54" t="inlineStr">
        <is>
          <t>avverkningsanmälan</t>
        </is>
      </c>
      <c r="C54" t="inlineStr">
        <is>
          <t>Föryngringsavverkning</t>
        </is>
      </c>
      <c r="D54" s="1" t="n">
        <v>44721</v>
      </c>
      <c r="E54" s="1" t="n">
        <v>46295</v>
      </c>
      <c r="F54" t="inlineStr">
        <is>
          <t>NORRBOTTENS LÄN</t>
        </is>
      </c>
      <c r="G54" t="inlineStr">
        <is>
          <t>KIRUNA</t>
        </is>
      </c>
      <c r="I54" t="n">
        <v>11.8</v>
      </c>
      <c r="J54" t="n">
        <v>0</v>
      </c>
      <c r="K54" t="n">
        <v>0</v>
      </c>
      <c r="L54" t="n">
        <v>0</v>
      </c>
      <c r="M54" t="n">
        <v>0</v>
      </c>
      <c r="N54" t="n">
        <v>0</v>
      </c>
      <c r="O54" t="n">
        <v>0</v>
      </c>
      <c r="P54" t="n">
        <v>0</v>
      </c>
      <c r="Q54" t="n">
        <v>0</v>
      </c>
      <c r="R54" t="n">
        <v>0</v>
      </c>
      <c r="S54" t="n">
        <v>0</v>
      </c>
      <c r="T54" t="n">
        <v>0</v>
      </c>
      <c r="U54" t="n">
        <v>0</v>
      </c>
      <c r="V54" s="2" t="inlineStr"/>
    </row>
    <row r="55" ht="15" customHeight="1">
      <c r="A55" t="inlineStr">
        <is>
          <t>A 62452-2022</t>
        </is>
      </c>
      <c r="B55" t="inlineStr">
        <is>
          <t>avverkningsanmälan</t>
        </is>
      </c>
      <c r="C55" t="inlineStr">
        <is>
          <t>Föryngringsavverkning</t>
        </is>
      </c>
      <c r="D55" s="1" t="n">
        <v>44916</v>
      </c>
      <c r="E55" s="1" t="n">
        <v>46295</v>
      </c>
      <c r="F55" t="inlineStr">
        <is>
          <t>NORRBOTTENS LÄN</t>
        </is>
      </c>
      <c r="G55" t="inlineStr">
        <is>
          <t>KIRUNA</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62460-2022</t>
        </is>
      </c>
      <c r="B56" t="inlineStr">
        <is>
          <t>avverkningsanmälan</t>
        </is>
      </c>
      <c r="C56" t="inlineStr">
        <is>
          <t>Föryngringsavverkning</t>
        </is>
      </c>
      <c r="D56" s="1" t="n">
        <v>44916</v>
      </c>
      <c r="E56" s="1" t="n">
        <v>46295</v>
      </c>
      <c r="F56" t="inlineStr">
        <is>
          <t>NORRBOTTENS LÄN</t>
        </is>
      </c>
      <c r="G56" t="inlineStr">
        <is>
          <t>KIRUNA</t>
        </is>
      </c>
      <c r="I56" t="n">
        <v>13.4</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46295</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36939-2022</t>
        </is>
      </c>
      <c r="B58" t="inlineStr">
        <is>
          <t>avverkningsanmälan</t>
        </is>
      </c>
      <c r="C58" t="inlineStr">
        <is>
          <t>Avverkning för annat ändamål</t>
        </is>
      </c>
      <c r="D58" s="1" t="n">
        <v>44805</v>
      </c>
      <c r="E58" s="1" t="n">
        <v>46295</v>
      </c>
      <c r="F58" t="inlineStr">
        <is>
          <t>NORRBOTTENS LÄN</t>
        </is>
      </c>
      <c r="G58" t="inlineStr">
        <is>
          <t>KIRUNA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46295</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46295</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13405-2026</t>
        </is>
      </c>
      <c r="B61" t="inlineStr">
        <is>
          <t>avverkningsanmälan</t>
        </is>
      </c>
      <c r="C61" t="inlineStr">
        <is>
          <t>Föryngringsavverkning</t>
        </is>
      </c>
      <c r="D61" s="1" t="n">
        <v>46094</v>
      </c>
      <c r="E61" s="1" t="n">
        <v>46295</v>
      </c>
      <c r="F61" t="inlineStr">
        <is>
          <t>NORRBOTTENS LÄN</t>
        </is>
      </c>
      <c r="G61" t="inlineStr">
        <is>
          <t>KIRUNA</t>
        </is>
      </c>
      <c r="I61" t="n">
        <v>24.5</v>
      </c>
      <c r="J61" t="n">
        <v>0</v>
      </c>
      <c r="K61" t="n">
        <v>0</v>
      </c>
      <c r="L61" t="n">
        <v>0</v>
      </c>
      <c r="M61" t="n">
        <v>0</v>
      </c>
      <c r="N61" t="n">
        <v>0</v>
      </c>
      <c r="O61" t="n">
        <v>0</v>
      </c>
      <c r="P61" t="n">
        <v>0</v>
      </c>
      <c r="Q61" t="n">
        <v>0</v>
      </c>
      <c r="R61" t="n">
        <v>0</v>
      </c>
      <c r="S61" t="n">
        <v>0</v>
      </c>
      <c r="T61" t="n">
        <v>0</v>
      </c>
      <c r="U61" t="n">
        <v>0</v>
      </c>
      <c r="V61" s="2" t="inlineStr"/>
    </row>
    <row r="62" ht="15" customHeight="1">
      <c r="A62" t="inlineStr">
        <is>
          <t>A 16197-2026</t>
        </is>
      </c>
      <c r="B62" t="inlineStr">
        <is>
          <t>avverkningsanmälan</t>
        </is>
      </c>
      <c r="C62" t="inlineStr">
        <is>
          <t>Avverkning för annat ändamål</t>
        </is>
      </c>
      <c r="D62" s="1" t="n">
        <v>46108</v>
      </c>
      <c r="E62" s="1" t="n">
        <v>46295</v>
      </c>
      <c r="F62" t="inlineStr">
        <is>
          <t>NORRBOTTENS LÄN</t>
        </is>
      </c>
      <c r="G62" t="inlineStr">
        <is>
          <t>KIRUNA</t>
        </is>
      </c>
      <c r="H62" t="inlineStr">
        <is>
          <t>Övriga statliga verk och myndigheter</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18388-2026</t>
        </is>
      </c>
      <c r="B63" t="inlineStr">
        <is>
          <t>avverkningsanmälan</t>
        </is>
      </c>
      <c r="C63" t="inlineStr">
        <is>
          <t>Föryngringsavverkning</t>
        </is>
      </c>
      <c r="D63" s="1" t="n">
        <v>46126</v>
      </c>
      <c r="E63" s="1" t="n">
        <v>46295</v>
      </c>
      <c r="F63" t="inlineStr">
        <is>
          <t>NORRBOTTENS LÄN</t>
        </is>
      </c>
      <c r="G63" t="inlineStr">
        <is>
          <t>KIRUNA</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12937-2026</t>
        </is>
      </c>
      <c r="B64" t="inlineStr">
        <is>
          <t>avverkningsanmälan</t>
        </is>
      </c>
      <c r="C64" t="inlineStr">
        <is>
          <t>Föryngringsavverkning</t>
        </is>
      </c>
      <c r="D64" s="1" t="n">
        <v>46092</v>
      </c>
      <c r="E64" s="1" t="n">
        <v>46295</v>
      </c>
      <c r="F64" t="inlineStr">
        <is>
          <t>NORRBOTTENS LÄN</t>
        </is>
      </c>
      <c r="G64" t="inlineStr">
        <is>
          <t>KIRUNA</t>
        </is>
      </c>
      <c r="I64" t="n">
        <v>37.2</v>
      </c>
      <c r="J64" t="n">
        <v>0</v>
      </c>
      <c r="K64" t="n">
        <v>0</v>
      </c>
      <c r="L64" t="n">
        <v>0</v>
      </c>
      <c r="M64" t="n">
        <v>0</v>
      </c>
      <c r="N64" t="n">
        <v>0</v>
      </c>
      <c r="O64" t="n">
        <v>0</v>
      </c>
      <c r="P64" t="n">
        <v>0</v>
      </c>
      <c r="Q64" t="n">
        <v>0</v>
      </c>
      <c r="R64" t="n">
        <v>0</v>
      </c>
      <c r="S64" t="n">
        <v>0</v>
      </c>
      <c r="T64" t="n">
        <v>0</v>
      </c>
      <c r="U64" t="n">
        <v>0</v>
      </c>
      <c r="V64" s="2" t="inlineStr"/>
    </row>
    <row r="65" ht="15" customHeight="1">
      <c r="A65" t="inlineStr">
        <is>
          <t>A 12969-2026</t>
        </is>
      </c>
      <c r="B65" t="inlineStr">
        <is>
          <t>avverkningsanmälan</t>
        </is>
      </c>
      <c r="C65" t="inlineStr">
        <is>
          <t>Föryngringsavverkning</t>
        </is>
      </c>
      <c r="D65" s="1" t="n">
        <v>46092</v>
      </c>
      <c r="E65" s="1" t="n">
        <v>46295</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38577-2024</t>
        </is>
      </c>
      <c r="B66" t="inlineStr">
        <is>
          <t>avverkningsanmälan</t>
        </is>
      </c>
      <c r="C66" t="inlineStr">
        <is>
          <t>Föryngringsavverkning</t>
        </is>
      </c>
      <c r="D66" s="1" t="n">
        <v>45546</v>
      </c>
      <c r="E66" s="1" t="n">
        <v>46295</v>
      </c>
      <c r="F66" t="inlineStr">
        <is>
          <t>NORRBOTTENS LÄN</t>
        </is>
      </c>
      <c r="G66" t="inlineStr">
        <is>
          <t>KIRUNA</t>
        </is>
      </c>
      <c r="I66" t="n">
        <v>39.8</v>
      </c>
      <c r="J66" t="n">
        <v>0</v>
      </c>
      <c r="K66" t="n">
        <v>0</v>
      </c>
      <c r="L66" t="n">
        <v>0</v>
      </c>
      <c r="M66" t="n">
        <v>0</v>
      </c>
      <c r="N66" t="n">
        <v>0</v>
      </c>
      <c r="O66" t="n">
        <v>0</v>
      </c>
      <c r="P66" t="n">
        <v>0</v>
      </c>
      <c r="Q66" t="n">
        <v>0</v>
      </c>
      <c r="R66" t="n">
        <v>0</v>
      </c>
      <c r="S66" t="n">
        <v>0</v>
      </c>
      <c r="T66" t="n">
        <v>0</v>
      </c>
      <c r="U66" t="n">
        <v>0</v>
      </c>
      <c r="V66" s="2" t="inlineStr"/>
    </row>
    <row r="67" ht="15" customHeight="1">
      <c r="A67" t="inlineStr">
        <is>
          <t>A 13526-2024</t>
        </is>
      </c>
      <c r="B67" t="inlineStr">
        <is>
          <t>avverkningsanmälan</t>
        </is>
      </c>
      <c r="C67" t="inlineStr">
        <is>
          <t>Föryngringsavverkning</t>
        </is>
      </c>
      <c r="D67" s="1" t="n">
        <v>45387</v>
      </c>
      <c r="E67" s="1" t="n">
        <v>46295</v>
      </c>
      <c r="F67" t="inlineStr">
        <is>
          <t>NORRBOTTENS LÄN</t>
        </is>
      </c>
      <c r="G67" t="inlineStr">
        <is>
          <t>KIRUNA</t>
        </is>
      </c>
      <c r="I67" t="n">
        <v>8.199999999999999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39247-2023</t>
        </is>
      </c>
      <c r="B68" t="inlineStr">
        <is>
          <t>avverkningsanmälan</t>
        </is>
      </c>
      <c r="C68" t="inlineStr">
        <is>
          <t>Föryngringsavverkning</t>
        </is>
      </c>
      <c r="D68" s="1" t="n">
        <v>45162</v>
      </c>
      <c r="E68" s="1" t="n">
        <v>46295</v>
      </c>
      <c r="F68" t="inlineStr">
        <is>
          <t>NORRBOTTENS LÄN</t>
        </is>
      </c>
      <c r="G68" t="inlineStr">
        <is>
          <t>KIRUNA</t>
        </is>
      </c>
      <c r="I68" t="n">
        <v>11.7</v>
      </c>
      <c r="J68" t="n">
        <v>0</v>
      </c>
      <c r="K68" t="n">
        <v>0</v>
      </c>
      <c r="L68" t="n">
        <v>0</v>
      </c>
      <c r="M68" t="n">
        <v>0</v>
      </c>
      <c r="N68" t="n">
        <v>0</v>
      </c>
      <c r="O68" t="n">
        <v>0</v>
      </c>
      <c r="P68" t="n">
        <v>0</v>
      </c>
      <c r="Q68" t="n">
        <v>0</v>
      </c>
      <c r="R68" t="n">
        <v>0</v>
      </c>
      <c r="S68" t="n">
        <v>0</v>
      </c>
      <c r="T68" t="n">
        <v>0</v>
      </c>
      <c r="U68" t="n">
        <v>0</v>
      </c>
      <c r="V68" s="2" t="inlineStr"/>
    </row>
    <row r="69" ht="15" customHeight="1">
      <c r="A69" t="inlineStr">
        <is>
          <t>A 20744-2024</t>
        </is>
      </c>
      <c r="B69" t="inlineStr">
        <is>
          <t>avverkningsanmälan</t>
        </is>
      </c>
      <c r="C69" t="inlineStr">
        <is>
          <t>Föryngringsavverkning</t>
        </is>
      </c>
      <c r="D69" s="1" t="n">
        <v>45436</v>
      </c>
      <c r="E69" s="1" t="n">
        <v>46295</v>
      </c>
      <c r="F69" t="inlineStr">
        <is>
          <t>NORRBOTTENS LÄN</t>
        </is>
      </c>
      <c r="G69" t="inlineStr">
        <is>
          <t>KIRUNA</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18738-2022</t>
        </is>
      </c>
      <c r="B70" t="inlineStr">
        <is>
          <t>avverkningsanmälan</t>
        </is>
      </c>
      <c r="C70" t="inlineStr">
        <is>
          <t>Avverkning för annat ändamål</t>
        </is>
      </c>
      <c r="D70" s="1" t="n">
        <v>44687</v>
      </c>
      <c r="E70" s="1" t="n">
        <v>46295</v>
      </c>
      <c r="F70" t="inlineStr">
        <is>
          <t>NORRBOTTENS LÄN</t>
        </is>
      </c>
      <c r="G70" t="inlineStr">
        <is>
          <t>KIRUNA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28707-2022</t>
        </is>
      </c>
      <c r="B71" t="inlineStr">
        <is>
          <t>avverkningsanmälan</t>
        </is>
      </c>
      <c r="C71" t="inlineStr">
        <is>
          <t>Föryngringsavverkning</t>
        </is>
      </c>
      <c r="D71" s="1" t="n">
        <v>44748</v>
      </c>
      <c r="E71" s="1" t="n">
        <v>46295</v>
      </c>
      <c r="F71" t="inlineStr">
        <is>
          <t>NORRBOTTENS LÄN</t>
        </is>
      </c>
      <c r="G71" t="inlineStr">
        <is>
          <t>KIRUNA</t>
        </is>
      </c>
      <c r="I71" t="n">
        <v>15.2</v>
      </c>
      <c r="J71" t="n">
        <v>0</v>
      </c>
      <c r="K71" t="n">
        <v>0</v>
      </c>
      <c r="L71" t="n">
        <v>0</v>
      </c>
      <c r="M71" t="n">
        <v>0</v>
      </c>
      <c r="N71" t="n">
        <v>0</v>
      </c>
      <c r="O71" t="n">
        <v>0</v>
      </c>
      <c r="P71" t="n">
        <v>0</v>
      </c>
      <c r="Q71" t="n">
        <v>0</v>
      </c>
      <c r="R71" t="n">
        <v>0</v>
      </c>
      <c r="S71" t="n">
        <v>0</v>
      </c>
      <c r="T71" t="n">
        <v>0</v>
      </c>
      <c r="U71" t="n">
        <v>0</v>
      </c>
      <c r="V71" s="2" t="inlineStr"/>
    </row>
    <row r="72" ht="15" customHeight="1">
      <c r="A72" t="inlineStr">
        <is>
          <t>A 39006-2023</t>
        </is>
      </c>
      <c r="B72" t="inlineStr">
        <is>
          <t>avverkningsanmälan</t>
        </is>
      </c>
      <c r="C72" t="inlineStr">
        <is>
          <t>Avverkning för annat ändamål</t>
        </is>
      </c>
      <c r="D72" s="1" t="n">
        <v>45162</v>
      </c>
      <c r="E72" s="1" t="n">
        <v>46295</v>
      </c>
      <c r="F72" t="inlineStr">
        <is>
          <t>NORRBOTTENS LÄN</t>
        </is>
      </c>
      <c r="G72" t="inlineStr">
        <is>
          <t>KIRUNA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39271-2023</t>
        </is>
      </c>
      <c r="B73" t="inlineStr">
        <is>
          <t>avverkningsanmälan</t>
        </is>
      </c>
      <c r="C73" t="inlineStr">
        <is>
          <t>Föryngringsavverkning</t>
        </is>
      </c>
      <c r="D73" s="1" t="n">
        <v>45162</v>
      </c>
      <c r="E73" s="1" t="n">
        <v>46295</v>
      </c>
      <c r="F73" t="inlineStr">
        <is>
          <t>NORRBOTTENS LÄN</t>
        </is>
      </c>
      <c r="G73" t="inlineStr">
        <is>
          <t>KIRUNA</t>
        </is>
      </c>
      <c r="I73" t="n">
        <v>51.9</v>
      </c>
      <c r="J73" t="n">
        <v>0</v>
      </c>
      <c r="K73" t="n">
        <v>0</v>
      </c>
      <c r="L73" t="n">
        <v>0</v>
      </c>
      <c r="M73" t="n">
        <v>0</v>
      </c>
      <c r="N73" t="n">
        <v>0</v>
      </c>
      <c r="O73" t="n">
        <v>0</v>
      </c>
      <c r="P73" t="n">
        <v>0</v>
      </c>
      <c r="Q73" t="n">
        <v>0</v>
      </c>
      <c r="R73" t="n">
        <v>0</v>
      </c>
      <c r="S73" t="n">
        <v>0</v>
      </c>
      <c r="T73" t="n">
        <v>0</v>
      </c>
      <c r="U73" t="n">
        <v>0</v>
      </c>
      <c r="V73" s="2" t="inlineStr"/>
    </row>
    <row r="74" ht="15" customHeight="1">
      <c r="A74" t="inlineStr">
        <is>
          <t>A 93-2024</t>
        </is>
      </c>
      <c r="B74" t="inlineStr">
        <is>
          <t>avverkningsanmälan</t>
        </is>
      </c>
      <c r="C74" t="inlineStr">
        <is>
          <t>Avverkning för annat ändamål</t>
        </is>
      </c>
      <c r="D74" s="1" t="n">
        <v>45293</v>
      </c>
      <c r="E74" s="1" t="n">
        <v>46295</v>
      </c>
      <c r="F74" t="inlineStr">
        <is>
          <t>NORRBOTTENS LÄN</t>
        </is>
      </c>
      <c r="G74" t="inlineStr">
        <is>
          <t>KIRUNA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30562-2026</t>
        </is>
      </c>
      <c r="B75" t="inlineStr">
        <is>
          <t>avverkningsanmälan</t>
        </is>
      </c>
      <c r="C75" t="inlineStr">
        <is>
          <t>Föryngringsavverkning</t>
        </is>
      </c>
      <c r="D75" s="1" t="n">
        <v>46210</v>
      </c>
      <c r="E75" s="1" t="n">
        <v>46295</v>
      </c>
      <c r="F75" t="inlineStr">
        <is>
          <t>NORRBOTTENS LÄN</t>
        </is>
      </c>
      <c r="G75" t="inlineStr">
        <is>
          <t>KIRUNA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46295</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46295</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18737-2023</t>
        </is>
      </c>
      <c r="B78" t="inlineStr">
        <is>
          <t>avverkningsanmälan</t>
        </is>
      </c>
      <c r="C78" t="inlineStr">
        <is>
          <t>Avverkning för annat ändamål</t>
        </is>
      </c>
      <c r="D78" s="1" t="n">
        <v>45042</v>
      </c>
      <c r="E78" s="1" t="n">
        <v>46295</v>
      </c>
      <c r="F78" t="inlineStr">
        <is>
          <t>NORRBOTTENS LÄN</t>
        </is>
      </c>
      <c r="G78" t="inlineStr">
        <is>
          <t>KIRUNA</t>
        </is>
      </c>
      <c r="H78" t="inlineStr">
        <is>
          <t>Sveaskog</t>
        </is>
      </c>
      <c r="I78" t="n">
        <v>10.7</v>
      </c>
      <c r="J78" t="n">
        <v>0</v>
      </c>
      <c r="K78" t="n">
        <v>0</v>
      </c>
      <c r="L78" t="n">
        <v>0</v>
      </c>
      <c r="M78" t="n">
        <v>0</v>
      </c>
      <c r="N78" t="n">
        <v>0</v>
      </c>
      <c r="O78" t="n">
        <v>0</v>
      </c>
      <c r="P78" t="n">
        <v>0</v>
      </c>
      <c r="Q78" t="n">
        <v>0</v>
      </c>
      <c r="R78" t="n">
        <v>0</v>
      </c>
      <c r="S78" t="n">
        <v>0</v>
      </c>
      <c r="T78" t="n">
        <v>0</v>
      </c>
      <c r="U78" t="n">
        <v>0</v>
      </c>
      <c r="V78" s="2" t="inlineStr"/>
    </row>
    <row r="79" ht="15" customHeight="1">
      <c r="A79" t="inlineStr">
        <is>
          <t>A 34693-2022</t>
        </is>
      </c>
      <c r="B79" t="inlineStr">
        <is>
          <t>avverkningsanmälan</t>
        </is>
      </c>
      <c r="C79" t="inlineStr">
        <is>
          <t>Föryngringsavverkning</t>
        </is>
      </c>
      <c r="D79" s="1" t="n">
        <v>44795</v>
      </c>
      <c r="E79" s="1" t="n">
        <v>46295</v>
      </c>
      <c r="F79" t="inlineStr">
        <is>
          <t>NORRBOTTENS LÄN</t>
        </is>
      </c>
      <c r="G79" t="inlineStr">
        <is>
          <t>KIRUNA</t>
        </is>
      </c>
      <c r="I79" t="n">
        <v>12.3</v>
      </c>
      <c r="J79" t="n">
        <v>0</v>
      </c>
      <c r="K79" t="n">
        <v>0</v>
      </c>
      <c r="L79" t="n">
        <v>0</v>
      </c>
      <c r="M79" t="n">
        <v>0</v>
      </c>
      <c r="N79" t="n">
        <v>0</v>
      </c>
      <c r="O79" t="n">
        <v>0</v>
      </c>
      <c r="P79" t="n">
        <v>0</v>
      </c>
      <c r="Q79" t="n">
        <v>0</v>
      </c>
      <c r="R79" t="n">
        <v>0</v>
      </c>
      <c r="S79" t="n">
        <v>0</v>
      </c>
      <c r="T79" t="n">
        <v>0</v>
      </c>
      <c r="U79" t="n">
        <v>0</v>
      </c>
      <c r="V79" s="2" t="inlineStr"/>
    </row>
    <row r="80" ht="15" customHeight="1">
      <c r="A80" t="inlineStr">
        <is>
          <t>A 5533-2024</t>
        </is>
      </c>
      <c r="B80" t="inlineStr">
        <is>
          <t>avverkningsanmälan</t>
        </is>
      </c>
      <c r="C80" t="inlineStr">
        <is>
          <t>Avverkning för annat ändamål</t>
        </is>
      </c>
      <c r="D80" s="1" t="n">
        <v>45334</v>
      </c>
      <c r="E80" s="1" t="n">
        <v>46295</v>
      </c>
      <c r="F80" t="inlineStr">
        <is>
          <t>NORRBOTTENS LÄN</t>
        </is>
      </c>
      <c r="G80" t="inlineStr">
        <is>
          <t>KIRUNA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56168-2023</t>
        </is>
      </c>
      <c r="B81" t="inlineStr">
        <is>
          <t>avverkningsanmälan</t>
        </is>
      </c>
      <c r="C81" t="inlineStr">
        <is>
          <t>Avverkning för annat ändamål</t>
        </is>
      </c>
      <c r="D81" s="1" t="n">
        <v>45236</v>
      </c>
      <c r="E81" s="1" t="n">
        <v>46295</v>
      </c>
      <c r="F81" t="inlineStr">
        <is>
          <t>NORRBOTTENS LÄN</t>
        </is>
      </c>
      <c r="G81" t="inlineStr">
        <is>
          <t>KIRUNA</t>
        </is>
      </c>
      <c r="H81" t="inlineStr">
        <is>
          <t>Sveaskog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8350-2025</t>
        </is>
      </c>
      <c r="B82" t="inlineStr">
        <is>
          <t>avverkningsanmälan</t>
        </is>
      </c>
      <c r="C82" t="inlineStr">
        <is>
          <t>Avverkning för annat ändamål</t>
        </is>
      </c>
      <c r="D82" s="1" t="n">
        <v>45708</v>
      </c>
      <c r="E82" s="1" t="n">
        <v>46295</v>
      </c>
      <c r="F82" t="inlineStr">
        <is>
          <t>NORRBOTTENS LÄN</t>
        </is>
      </c>
      <c r="G82" t="inlineStr">
        <is>
          <t>KIRUNA</t>
        </is>
      </c>
      <c r="H82" t="inlineStr">
        <is>
          <t>Övriga statliga verk och myndigheter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35765-2026</t>
        </is>
      </c>
      <c r="B83" t="inlineStr">
        <is>
          <t>avverkningsanmälan</t>
        </is>
      </c>
      <c r="C83" t="inlineStr">
        <is>
          <t>Föryngringsavverkning</t>
        </is>
      </c>
      <c r="D83" s="1" t="n">
        <v>46265</v>
      </c>
      <c r="E83" s="1" t="n">
        <v>46295</v>
      </c>
      <c r="F83" t="inlineStr">
        <is>
          <t>NORRBOTTENS LÄN</t>
        </is>
      </c>
      <c r="G83" t="inlineStr">
        <is>
          <t>KIRUNA</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46295</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39321-2026</t>
        </is>
      </c>
      <c r="B85" t="inlineStr">
        <is>
          <t>avverkningsanmälan</t>
        </is>
      </c>
      <c r="C85" t="inlineStr">
        <is>
          <t>Föryngringsavverkning</t>
        </is>
      </c>
      <c r="D85" s="1" t="n">
        <v>46288</v>
      </c>
      <c r="E85" s="1" t="n">
        <v>46295</v>
      </c>
      <c r="F85" t="inlineStr">
        <is>
          <t>NORRBOTTENS LÄN</t>
        </is>
      </c>
      <c r="G85" t="inlineStr">
        <is>
          <t>KIRUNA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46295</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40136-2026</t>
        </is>
      </c>
      <c r="B87" t="inlineStr">
        <is>
          <t>avverkningsanmälan</t>
        </is>
      </c>
      <c r="C87" t="inlineStr">
        <is>
          <t>Föryngringsavverkning</t>
        </is>
      </c>
      <c r="D87" s="1" t="n">
        <v>46293</v>
      </c>
      <c r="E87" s="1" t="n">
        <v>46295</v>
      </c>
      <c r="F87" t="inlineStr">
        <is>
          <t>NORRBOTTENS LÄN</t>
        </is>
      </c>
      <c r="G87" t="inlineStr">
        <is>
          <t>KIRUNA</t>
        </is>
      </c>
      <c r="I87" t="n">
        <v>9.5</v>
      </c>
      <c r="J87" t="n">
        <v>0</v>
      </c>
      <c r="K87" t="n">
        <v>0</v>
      </c>
      <c r="L87" t="n">
        <v>0</v>
      </c>
      <c r="M87" t="n">
        <v>0</v>
      </c>
      <c r="N87" t="n">
        <v>0</v>
      </c>
      <c r="O87" t="n">
        <v>0</v>
      </c>
      <c r="P87" t="n">
        <v>0</v>
      </c>
      <c r="Q87" t="n">
        <v>0</v>
      </c>
      <c r="R87" t="n">
        <v>0</v>
      </c>
      <c r="S87" t="n">
        <v>0</v>
      </c>
      <c r="T87" t="n">
        <v>0</v>
      </c>
      <c r="U87" t="n">
        <v>0</v>
      </c>
      <c r="V87" s="2" t="inlineStr"/>
    </row>
    <row r="88" ht="15" customHeight="1">
      <c r="A88" t="inlineStr">
        <is>
          <t>A 39064-2026</t>
        </is>
      </c>
      <c r="B88" t="inlineStr">
        <is>
          <t>avverkningsanmälan</t>
        </is>
      </c>
      <c r="C88" t="inlineStr">
        <is>
          <t>Föryngringsavverkning</t>
        </is>
      </c>
      <c r="D88" s="1" t="n">
        <v>46287</v>
      </c>
      <c r="E88" s="1" t="n">
        <v>46295</v>
      </c>
      <c r="F88" t="inlineStr">
        <is>
          <t>NORRBOTTENS LÄN</t>
        </is>
      </c>
      <c r="G88" t="inlineStr">
        <is>
          <t>KIRUNA</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37993-2026</t>
        </is>
      </c>
      <c r="B89" t="inlineStr">
        <is>
          <t>avverkningsanmälan</t>
        </is>
      </c>
      <c r="C89" t="inlineStr">
        <is>
          <t>Föryngringsavverkning</t>
        </is>
      </c>
      <c r="D89" s="1" t="n">
        <v>46280</v>
      </c>
      <c r="E89" s="1" t="n">
        <v>46295</v>
      </c>
      <c r="F89" t="inlineStr">
        <is>
          <t>NORRBOTTENS LÄN</t>
        </is>
      </c>
      <c r="G89" t="inlineStr">
        <is>
          <t>KIRUNA</t>
        </is>
      </c>
      <c r="I89" t="n">
        <v>54.2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46295</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2026-09-30T02:00:18Z</dcterms:created>
  <dcterms:modified xmlns:dcterms="http://purl.org/dc/terms/" xmlns:xsi="http://www.w3.org/2001/XMLSchema-instance" xsi:type="dcterms:W3CDTF">2026-09-30T02:00:19Z</dcterms:modified>
</cp:coreProperties>
</file>