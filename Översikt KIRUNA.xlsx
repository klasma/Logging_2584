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46224</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46224</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46224</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46224</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46224</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46224</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46224</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46224</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46224</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46224</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46224</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46224</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46224</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46224</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46224</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46224</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46224</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61066-2024</t>
        </is>
      </c>
      <c r="B19" t="inlineStr">
        <is>
          <t>avverkningsanmälan</t>
        </is>
      </c>
      <c r="C19" t="inlineStr">
        <is>
          <t>Föryngringsavverkning</t>
        </is>
      </c>
      <c r="D19" s="1" t="n">
        <v>45645</v>
      </c>
      <c r="E19" s="1" t="n">
        <v>46224</v>
      </c>
      <c r="F19" t="inlineStr">
        <is>
          <t>NORRBOTTENS LÄN</t>
        </is>
      </c>
      <c r="G19" t="inlineStr">
        <is>
          <t>KIRUNA</t>
        </is>
      </c>
      <c r="I19" t="n">
        <v>4.5</v>
      </c>
      <c r="J19" t="n">
        <v>1</v>
      </c>
      <c r="K19" t="n">
        <v>0</v>
      </c>
      <c r="L19" t="n">
        <v>0</v>
      </c>
      <c r="M19" t="n">
        <v>0</v>
      </c>
      <c r="N19" t="n">
        <v>0</v>
      </c>
      <c r="O19" t="n">
        <v>0</v>
      </c>
      <c r="P19" t="n">
        <v>0</v>
      </c>
      <c r="Q19" t="n">
        <v>0</v>
      </c>
      <c r="R19" t="n">
        <v>0</v>
      </c>
      <c r="S19" t="n">
        <v>1</v>
      </c>
      <c r="T19" t="n">
        <v>1</v>
      </c>
      <c r="U19" t="n">
        <v>1</v>
      </c>
      <c r="V19" s="2" t="inlineStr">
        <is>
          <t>Tjäder</t>
        </is>
      </c>
      <c r="W19">
        <f>HYPERLINK("https://klasma.github.io/Logging_2584/artfynd/A 61066-2024 artfynd.xlsx", "A 61066-2024")</f>
        <v/>
      </c>
      <c r="X19">
        <f>HYPERLINK("https://klasma.github.io/Logging_2584/kartor/A 61066-2024 karta.png", "A 61066-2024")</f>
        <v/>
      </c>
      <c r="Y19">
        <f>HYPERLINK("https://klasma.github.io/Logging_2584/kartor_geotiff/A 61066-2024 georefererad karta.tif", "A 61066-2024")</f>
        <v/>
      </c>
      <c r="AA19">
        <f>HYPERLINK("https://klasma.github.io/Logging_2584/klagomål/A 61066-2024 FSC-klagomål.docx", "A 61066-2024")</f>
        <v/>
      </c>
      <c r="AB19">
        <f>HYPERLINK("https://klasma.github.io/Logging_2584/klagomålsmail/A 61066-2024 FSC-klagomål mail.docx", "A 61066-2024")</f>
        <v/>
      </c>
      <c r="AC19">
        <f>HYPERLINK("https://klasma.github.io/Logging_2584/tillsyn/A 61066-2024 tillsynsbegäran.docx", "A 61066-2024")</f>
        <v/>
      </c>
      <c r="AD19">
        <f>HYPERLINK("https://klasma.github.io/Logging_2584/tillsynsmail/A 61066-2024 tillsynsbegäran mail.docx", "A 61066-2024")</f>
        <v/>
      </c>
      <c r="AE19">
        <f>HYPERLINK("https://klasma.github.io/Logging_2584/fåglar/A 61066-2024 prioriterade fågelarter.docx", "A 61066-2024")</f>
        <v/>
      </c>
    </row>
    <row r="20" ht="15" customHeight="1">
      <c r="A20" t="inlineStr">
        <is>
          <t>A 60064-2023</t>
        </is>
      </c>
      <c r="B20" t="inlineStr">
        <is>
          <t>avverkningsanmälan</t>
        </is>
      </c>
      <c r="C20" t="inlineStr">
        <is>
          <t>Föryngringsavverkning</t>
        </is>
      </c>
      <c r="D20" s="1" t="n">
        <v>45258</v>
      </c>
      <c r="E20" s="1" t="n">
        <v>46224</v>
      </c>
      <c r="F20" t="inlineStr">
        <is>
          <t>NORRBOTTENS LÄN</t>
        </is>
      </c>
      <c r="G20" t="inlineStr">
        <is>
          <t>KIRUNA</t>
        </is>
      </c>
      <c r="I20" t="n">
        <v>19.8</v>
      </c>
      <c r="J20" t="n">
        <v>1</v>
      </c>
      <c r="K20" t="n">
        <v>0</v>
      </c>
      <c r="L20" t="n">
        <v>0</v>
      </c>
      <c r="M20" t="n">
        <v>0</v>
      </c>
      <c r="N20" t="n">
        <v>0</v>
      </c>
      <c r="O20" t="n">
        <v>0</v>
      </c>
      <c r="P20" t="n">
        <v>0</v>
      </c>
      <c r="Q20" t="n">
        <v>0</v>
      </c>
      <c r="R20" t="n">
        <v>0</v>
      </c>
      <c r="S20" t="n">
        <v>1</v>
      </c>
      <c r="T20" t="n">
        <v>2</v>
      </c>
      <c r="U20" t="n">
        <v>2</v>
      </c>
      <c r="V20" s="2" t="inlineStr">
        <is>
          <t>Tjäder</t>
        </is>
      </c>
      <c r="W20">
        <f>HYPERLINK("https://klasma.github.io/Logging_2584/artfynd/A 60064-2023 artfynd.xlsx", "A 60064-2023")</f>
        <v/>
      </c>
      <c r="X20">
        <f>HYPERLINK("https://klasma.github.io/Logging_2584/kartor/A 60064-2023 karta.png", "A 60064-2023")</f>
        <v/>
      </c>
      <c r="Y20">
        <f>HYPERLINK("https://klasma.github.io/Logging_2584/kartor_geotiff/A 60064-2023 georefererad karta.tif", "A 60064-2023")</f>
        <v/>
      </c>
      <c r="AA20">
        <f>HYPERLINK("https://klasma.github.io/Logging_2584/klagomål/A 60064-2023 FSC-klagomål.docx", "A 60064-2023")</f>
        <v/>
      </c>
      <c r="AB20">
        <f>HYPERLINK("https://klasma.github.io/Logging_2584/klagomålsmail/A 60064-2023 FSC-klagomål mail.docx", "A 60064-2023")</f>
        <v/>
      </c>
      <c r="AC20">
        <f>HYPERLINK("https://klasma.github.io/Logging_2584/tillsyn/A 60064-2023 tillsynsbegäran.docx", "A 60064-2023")</f>
        <v/>
      </c>
      <c r="AD20">
        <f>HYPERLINK("https://klasma.github.io/Logging_2584/tillsynsmail/A 60064-2023 tillsynsbegäran mail.docx", "A 60064-2023")</f>
        <v/>
      </c>
      <c r="AE20">
        <f>HYPERLINK("https://klasma.github.io/Logging_2584/fåglar/A 60064-2023 prioriterade fågelarter.docx", "A 60064-2023")</f>
        <v/>
      </c>
    </row>
    <row r="21" ht="15" customHeight="1">
      <c r="A21" t="inlineStr">
        <is>
          <t>A 4367-2024</t>
        </is>
      </c>
      <c r="B21" t="inlineStr">
        <is>
          <t>avverkningsanmälan</t>
        </is>
      </c>
      <c r="C21" t="inlineStr">
        <is>
          <t>Föryngringsavverkning</t>
        </is>
      </c>
      <c r="D21" s="1" t="n">
        <v>45326</v>
      </c>
      <c r="E21" s="1" t="n">
        <v>46224</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t="n">
        <v>1</v>
      </c>
      <c r="V21" s="2" t="inlineStr">
        <is>
          <t>Tallticka</t>
        </is>
      </c>
      <c r="W21">
        <f>HYPERLINK("https://klasma.github.io/Logging_2584/artfynd/A 4367-2024 artfynd.xlsx", "A 4367-2024")</f>
        <v/>
      </c>
      <c r="X21">
        <f>HYPERLINK("https://klasma.github.io/Logging_2584/kartor/A 4367-2024 karta.png", "A 4367-2024")</f>
        <v/>
      </c>
      <c r="Y21">
        <f>HYPERLINK("https://klasma.github.io/Logging_2584/kartor_geotiff/A 4367-2024 georefererad karta.tif", "A 4367-2024")</f>
        <v/>
      </c>
      <c r="AA21">
        <f>HYPERLINK("https://klasma.github.io/Logging_2584/klagomål/A 4367-2024 FSC-klagomål.docx", "A 4367-2024")</f>
        <v/>
      </c>
      <c r="AB21">
        <f>HYPERLINK("https://klasma.github.io/Logging_2584/klagomålsmail/A 4367-2024 FSC-klagomål mail.docx", "A 4367-2024")</f>
        <v/>
      </c>
      <c r="AC21">
        <f>HYPERLINK("https://klasma.github.io/Logging_2584/tillsyn/A 4367-2024 tillsynsbegäran.docx", "A 4367-2024")</f>
        <v/>
      </c>
      <c r="AD21">
        <f>HYPERLINK("https://klasma.github.io/Logging_2584/tillsynsmail/A 4367-2024 tillsynsbegäran mail.docx", "A 4367-2024")</f>
        <v/>
      </c>
    </row>
    <row r="22" ht="15" customHeight="1">
      <c r="A22" t="inlineStr">
        <is>
          <t>A 2660-2026</t>
        </is>
      </c>
      <c r="B22" t="inlineStr">
        <is>
          <t>avverkningsanmälan</t>
        </is>
      </c>
      <c r="C22" t="inlineStr">
        <is>
          <t>Föryngringsavverkning</t>
        </is>
      </c>
      <c r="D22" s="1" t="n">
        <v>46037</v>
      </c>
      <c r="E22" s="1" t="n">
        <v>46224</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16024-2024</t>
        </is>
      </c>
      <c r="B23" t="inlineStr">
        <is>
          <t>avverkningsanmälan</t>
        </is>
      </c>
      <c r="C23" t="inlineStr">
        <is>
          <t>Föryngringsavverkning</t>
        </is>
      </c>
      <c r="D23" s="1" t="n">
        <v>45405</v>
      </c>
      <c r="E23" s="1" t="n">
        <v>46224</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t="n">
        <v>1</v>
      </c>
      <c r="V23" s="2" t="inlineStr">
        <is>
          <t>Vedskivlav</t>
        </is>
      </c>
      <c r="W23">
        <f>HYPERLINK("https://klasma.github.io/Logging_2584/artfynd/A 16024-2024 artfynd.xlsx", "A 16024-2024")</f>
        <v/>
      </c>
      <c r="X23">
        <f>HYPERLINK("https://klasma.github.io/Logging_2584/kartor/A 16024-2024 karta.png", "A 16024-2024")</f>
        <v/>
      </c>
      <c r="Y23">
        <f>HYPERLINK("https://klasma.github.io/Logging_2584/kartor_geotiff/A 16024-2024 georefererad karta.tif", "A 16024-2024")</f>
        <v/>
      </c>
      <c r="AA23">
        <f>HYPERLINK("https://klasma.github.io/Logging_2584/klagomål/A 16024-2024 FSC-klagomål.docx", "A 16024-2024")</f>
        <v/>
      </c>
      <c r="AB23">
        <f>HYPERLINK("https://klasma.github.io/Logging_2584/klagomålsmail/A 16024-2024 FSC-klagomål mail.docx", "A 16024-2024")</f>
        <v/>
      </c>
      <c r="AC23">
        <f>HYPERLINK("https://klasma.github.io/Logging_2584/tillsyn/A 16024-2024 tillsynsbegäran.docx", "A 16024-2024")</f>
        <v/>
      </c>
      <c r="AD23">
        <f>HYPERLINK("https://klasma.github.io/Logging_2584/tillsynsmail/A 16024-2024 tillsynsbegäran mail.docx", "A 16024-2024")</f>
        <v/>
      </c>
    </row>
    <row r="24" ht="15" customHeight="1">
      <c r="A24" t="inlineStr">
        <is>
          <t>A 5842-2023</t>
        </is>
      </c>
      <c r="B24" t="inlineStr">
        <is>
          <t>avverkningsanmälan</t>
        </is>
      </c>
      <c r="C24" t="inlineStr">
        <is>
          <t>Avverkning för annat ändamål</t>
        </is>
      </c>
      <c r="D24" s="1" t="n">
        <v>44958</v>
      </c>
      <c r="E24" s="1" t="n">
        <v>46224</v>
      </c>
      <c r="F24" t="inlineStr">
        <is>
          <t>NORRBOTTENS LÄN</t>
        </is>
      </c>
      <c r="G24" t="inlineStr">
        <is>
          <t>KIRUNA</t>
        </is>
      </c>
      <c r="I24" t="n">
        <v>2.9</v>
      </c>
      <c r="J24" t="n">
        <v>0</v>
      </c>
      <c r="K24" t="n">
        <v>0</v>
      </c>
      <c r="L24" t="n">
        <v>0</v>
      </c>
      <c r="M24" t="n">
        <v>1</v>
      </c>
      <c r="N24" t="n">
        <v>0</v>
      </c>
      <c r="O24" t="n">
        <v>0</v>
      </c>
      <c r="P24" t="n">
        <v>0</v>
      </c>
      <c r="Q24" t="n">
        <v>1</v>
      </c>
      <c r="R24" t="n">
        <v>1</v>
      </c>
      <c r="S24" t="n">
        <v>1</v>
      </c>
      <c r="T24" t="n">
        <v>1</v>
      </c>
      <c r="U24" t="n">
        <v>0</v>
      </c>
      <c r="V24" s="2" t="inlineStr">
        <is>
          <t>Fjällsotlav</t>
        </is>
      </c>
      <c r="W24">
        <f>HYPERLINK("https://klasma.github.io/Logging_2584/artfynd/A 5842-2023 artfynd.xlsx", "A 5842-2023")</f>
        <v/>
      </c>
      <c r="X24">
        <f>HYPERLINK("https://klasma.github.io/Logging_2584/kartor/A 5842-2023 karta.png", "A 5842-2023")</f>
        <v/>
      </c>
      <c r="Y24">
        <f>HYPERLINK("https://klasma.github.io/Logging_2584/kartor_geotiff/A 5842-2023 georefererad karta.tif", "A 5842-2023")</f>
        <v/>
      </c>
      <c r="AA24">
        <f>HYPERLINK("https://klasma.github.io/Logging_2584/klagomål/A 5842-2023 FSC-klagomål.docx", "A 5842-2023")</f>
        <v/>
      </c>
      <c r="AB24">
        <f>HYPERLINK("https://klasma.github.io/Logging_2584/klagomålsmail/A 5842-2023 FSC-klagomål mail.docx", "A 5842-2023")</f>
        <v/>
      </c>
      <c r="AC24">
        <f>HYPERLINK("https://klasma.github.io/Logging_2584/tillsyn/A 5842-2023 tillsynsbegäran.docx", "A 5842-2023")</f>
        <v/>
      </c>
      <c r="AD24">
        <f>HYPERLINK("https://klasma.github.io/Logging_2584/tillsynsmail/A 5842-2023 tillsynsbegäran mail.docx", "A 5842-2023")</f>
        <v/>
      </c>
    </row>
    <row r="25" ht="15" customHeight="1">
      <c r="A25" t="inlineStr">
        <is>
          <t>A 45205-2022</t>
        </is>
      </c>
      <c r="B25" t="inlineStr">
        <is>
          <t>avverkningsanmälan</t>
        </is>
      </c>
      <c r="C25" t="inlineStr">
        <is>
          <t>Avverkning för annat ändamål</t>
        </is>
      </c>
      <c r="D25" s="1" t="n">
        <v>44840</v>
      </c>
      <c r="E25" s="1" t="n">
        <v>46224</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46224</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46224</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46224</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46224</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49704-2024</t>
        </is>
      </c>
      <c r="B30" t="inlineStr">
        <is>
          <t>avverkningsanmälan</t>
        </is>
      </c>
      <c r="C30" t="inlineStr">
        <is>
          <t>Föryngringsavverkning</t>
        </is>
      </c>
      <c r="D30" s="1" t="n">
        <v>45596</v>
      </c>
      <c r="E30" s="1" t="n">
        <v>46224</v>
      </c>
      <c r="F30" t="inlineStr">
        <is>
          <t>NORRBOTTENS LÄN</t>
        </is>
      </c>
      <c r="G30" t="inlineStr">
        <is>
          <t>KIRUNA</t>
        </is>
      </c>
      <c r="I30" t="n">
        <v>17.4</v>
      </c>
      <c r="J30" t="n">
        <v>0</v>
      </c>
      <c r="K30" t="n">
        <v>0</v>
      </c>
      <c r="L30" t="n">
        <v>0</v>
      </c>
      <c r="M30" t="n">
        <v>0</v>
      </c>
      <c r="N30" t="n">
        <v>0</v>
      </c>
      <c r="O30" t="n">
        <v>0</v>
      </c>
      <c r="P30" t="n">
        <v>0</v>
      </c>
      <c r="Q30" t="n">
        <v>0</v>
      </c>
      <c r="R30" t="n">
        <v>0</v>
      </c>
      <c r="S30" t="n">
        <v>0</v>
      </c>
      <c r="T30" t="n">
        <v>0</v>
      </c>
      <c r="U30" t="n">
        <v>0</v>
      </c>
      <c r="V30" s="2" t="inlineStr"/>
    </row>
    <row r="31" ht="15" customHeight="1">
      <c r="A31" t="inlineStr">
        <is>
          <t>A 22491-2024</t>
        </is>
      </c>
      <c r="B31" t="inlineStr">
        <is>
          <t>avverkningsanmälan</t>
        </is>
      </c>
      <c r="C31" t="inlineStr">
        <is>
          <t>Föryngringsavverkning</t>
        </is>
      </c>
      <c r="D31" s="1" t="n">
        <v>45447</v>
      </c>
      <c r="E31" s="1" t="n">
        <v>46224</v>
      </c>
      <c r="F31" t="inlineStr">
        <is>
          <t>NORRBOTTENS LÄN</t>
        </is>
      </c>
      <c r="G31" t="inlineStr">
        <is>
          <t>KIRUNA</t>
        </is>
      </c>
      <c r="I31" t="n">
        <v>9</v>
      </c>
      <c r="J31" t="n">
        <v>0</v>
      </c>
      <c r="K31" t="n">
        <v>0</v>
      </c>
      <c r="L31" t="n">
        <v>0</v>
      </c>
      <c r="M31" t="n">
        <v>0</v>
      </c>
      <c r="N31" t="n">
        <v>0</v>
      </c>
      <c r="O31" t="n">
        <v>0</v>
      </c>
      <c r="P31" t="n">
        <v>0</v>
      </c>
      <c r="Q31" t="n">
        <v>0</v>
      </c>
      <c r="R31" t="n">
        <v>0</v>
      </c>
      <c r="S31" t="n">
        <v>0</v>
      </c>
      <c r="T31" t="n">
        <v>0</v>
      </c>
      <c r="U31" t="n">
        <v>0</v>
      </c>
      <c r="V31" s="2" t="inlineStr"/>
    </row>
    <row r="32" ht="15" customHeight="1">
      <c r="A32" t="inlineStr">
        <is>
          <t>A 62460-2022</t>
        </is>
      </c>
      <c r="B32" t="inlineStr">
        <is>
          <t>avverkningsanmälan</t>
        </is>
      </c>
      <c r="C32" t="inlineStr">
        <is>
          <t>Föryngringsavverkning</t>
        </is>
      </c>
      <c r="D32" s="1" t="n">
        <v>44916</v>
      </c>
      <c r="E32" s="1" t="n">
        <v>46224</v>
      </c>
      <c r="F32" t="inlineStr">
        <is>
          <t>NORRBOTTENS LÄN</t>
        </is>
      </c>
      <c r="G32" t="inlineStr">
        <is>
          <t>KIRUNA</t>
        </is>
      </c>
      <c r="I32" t="n">
        <v>13.4</v>
      </c>
      <c r="J32" t="n">
        <v>0</v>
      </c>
      <c r="K32" t="n">
        <v>0</v>
      </c>
      <c r="L32" t="n">
        <v>0</v>
      </c>
      <c r="M32" t="n">
        <v>0</v>
      </c>
      <c r="N32" t="n">
        <v>0</v>
      </c>
      <c r="O32" t="n">
        <v>0</v>
      </c>
      <c r="P32" t="n">
        <v>0</v>
      </c>
      <c r="Q32" t="n">
        <v>0</v>
      </c>
      <c r="R32" t="n">
        <v>0</v>
      </c>
      <c r="S32" t="n">
        <v>0</v>
      </c>
      <c r="T32" t="n">
        <v>0</v>
      </c>
      <c r="U32" t="n">
        <v>0</v>
      </c>
      <c r="V32" s="2" t="inlineStr"/>
    </row>
    <row r="33" ht="15" customHeight="1">
      <c r="A33" t="inlineStr">
        <is>
          <t>A 50590-2023</t>
        </is>
      </c>
      <c r="B33" t="inlineStr">
        <is>
          <t>avverkningsanmälan</t>
        </is>
      </c>
      <c r="C33" t="inlineStr">
        <is>
          <t>Föryngringsavverkning</t>
        </is>
      </c>
      <c r="D33" s="1" t="n">
        <v>45217</v>
      </c>
      <c r="E33" s="1" t="n">
        <v>46224</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36939-2022</t>
        </is>
      </c>
      <c r="B34" t="inlineStr">
        <is>
          <t>avverkningsanmälan</t>
        </is>
      </c>
      <c r="C34" t="inlineStr">
        <is>
          <t>Avverkning för annat ändamål</t>
        </is>
      </c>
      <c r="D34" s="1" t="n">
        <v>44805</v>
      </c>
      <c r="E34" s="1" t="n">
        <v>46224</v>
      </c>
      <c r="F34" t="inlineStr">
        <is>
          <t>NORRBOTTENS LÄN</t>
        </is>
      </c>
      <c r="G34" t="inlineStr">
        <is>
          <t>KIRUNA</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148-2026</t>
        </is>
      </c>
      <c r="B35" t="inlineStr">
        <is>
          <t>avverkningsanmälan</t>
        </is>
      </c>
      <c r="C35" t="inlineStr">
        <is>
          <t>Föryngringsavverkning</t>
        </is>
      </c>
      <c r="D35" s="1" t="n">
        <v>46024</v>
      </c>
      <c r="E35" s="1" t="n">
        <v>46224</v>
      </c>
      <c r="F35" t="inlineStr">
        <is>
          <t>NORRBOTTENS LÄN</t>
        </is>
      </c>
      <c r="G35" t="inlineStr">
        <is>
          <t>KIRUNA</t>
        </is>
      </c>
      <c r="I35" t="n">
        <v>10.2</v>
      </c>
      <c r="J35" t="n">
        <v>0</v>
      </c>
      <c r="K35" t="n">
        <v>0</v>
      </c>
      <c r="L35" t="n">
        <v>0</v>
      </c>
      <c r="M35" t="n">
        <v>0</v>
      </c>
      <c r="N35" t="n">
        <v>0</v>
      </c>
      <c r="O35" t="n">
        <v>0</v>
      </c>
      <c r="P35" t="n">
        <v>0</v>
      </c>
      <c r="Q35" t="n">
        <v>0</v>
      </c>
      <c r="R35" t="n">
        <v>0</v>
      </c>
      <c r="S35" t="n">
        <v>0</v>
      </c>
      <c r="T35" t="n">
        <v>0</v>
      </c>
      <c r="U35" t="n">
        <v>0</v>
      </c>
      <c r="V35" s="2" t="inlineStr"/>
    </row>
    <row r="36" ht="15" customHeight="1">
      <c r="A36" t="inlineStr">
        <is>
          <t>A 34663-2025</t>
        </is>
      </c>
      <c r="B36" t="inlineStr">
        <is>
          <t>avverkningsanmälan</t>
        </is>
      </c>
      <c r="C36" t="inlineStr">
        <is>
          <t>Föryngringsavverkning</t>
        </is>
      </c>
      <c r="D36" s="1" t="n">
        <v>45848</v>
      </c>
      <c r="E36" s="1" t="n">
        <v>46224</v>
      </c>
      <c r="F36" t="inlineStr">
        <is>
          <t>NORRBOTTENS LÄN</t>
        </is>
      </c>
      <c r="G36" t="inlineStr">
        <is>
          <t>KIRUNA</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50338-2025</t>
        </is>
      </c>
      <c r="B37" t="inlineStr">
        <is>
          <t>avverkningsanmälan</t>
        </is>
      </c>
      <c r="C37" t="inlineStr">
        <is>
          <t>Föryngringsavverkning</t>
        </is>
      </c>
      <c r="D37" s="1" t="n">
        <v>45944</v>
      </c>
      <c r="E37" s="1" t="n">
        <v>46224</v>
      </c>
      <c r="F37" t="inlineStr">
        <is>
          <t>NORRBOTTENS LÄN</t>
        </is>
      </c>
      <c r="G37" t="inlineStr">
        <is>
          <t>KIRUNA</t>
        </is>
      </c>
      <c r="H37" t="inlineStr">
        <is>
          <t>SCA</t>
        </is>
      </c>
      <c r="I37" t="n">
        <v>22.6</v>
      </c>
      <c r="J37" t="n">
        <v>0</v>
      </c>
      <c r="K37" t="n">
        <v>0</v>
      </c>
      <c r="L37" t="n">
        <v>0</v>
      </c>
      <c r="M37" t="n">
        <v>0</v>
      </c>
      <c r="N37" t="n">
        <v>0</v>
      </c>
      <c r="O37" t="n">
        <v>0</v>
      </c>
      <c r="P37" t="n">
        <v>0</v>
      </c>
      <c r="Q37" t="n">
        <v>0</v>
      </c>
      <c r="R37" t="n">
        <v>0</v>
      </c>
      <c r="S37" t="n">
        <v>0</v>
      </c>
      <c r="T37" t="n">
        <v>0</v>
      </c>
      <c r="U37" t="n">
        <v>0</v>
      </c>
      <c r="V37" s="2" t="inlineStr"/>
    </row>
    <row r="38" ht="15" customHeight="1">
      <c r="A38" t="inlineStr">
        <is>
          <t>A 34664-2025</t>
        </is>
      </c>
      <c r="B38" t="inlineStr">
        <is>
          <t>avverkningsanmälan</t>
        </is>
      </c>
      <c r="C38" t="inlineStr">
        <is>
          <t>Föryngringsavverkning</t>
        </is>
      </c>
      <c r="D38" s="1" t="n">
        <v>45848</v>
      </c>
      <c r="E38" s="1" t="n">
        <v>46224</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20893-2025</t>
        </is>
      </c>
      <c r="B39" t="inlineStr">
        <is>
          <t>avverkningsanmälan</t>
        </is>
      </c>
      <c r="C39" t="inlineStr">
        <is>
          <t>Föryngringsavverkning</t>
        </is>
      </c>
      <c r="D39" s="1" t="n">
        <v>45776</v>
      </c>
      <c r="E39" s="1" t="n">
        <v>46224</v>
      </c>
      <c r="F39" t="inlineStr">
        <is>
          <t>NORRBOTTENS LÄN</t>
        </is>
      </c>
      <c r="G39" t="inlineStr">
        <is>
          <t>KIRUNA</t>
        </is>
      </c>
      <c r="I39" t="n">
        <v>27.3</v>
      </c>
      <c r="J39" t="n">
        <v>0</v>
      </c>
      <c r="K39" t="n">
        <v>0</v>
      </c>
      <c r="L39" t="n">
        <v>0</v>
      </c>
      <c r="M39" t="n">
        <v>0</v>
      </c>
      <c r="N39" t="n">
        <v>0</v>
      </c>
      <c r="O39" t="n">
        <v>0</v>
      </c>
      <c r="P39" t="n">
        <v>0</v>
      </c>
      <c r="Q39" t="n">
        <v>0</v>
      </c>
      <c r="R39" t="n">
        <v>0</v>
      </c>
      <c r="S39" t="n">
        <v>0</v>
      </c>
      <c r="T39" t="n">
        <v>0</v>
      </c>
      <c r="U39" t="n">
        <v>0</v>
      </c>
      <c r="V39" s="2" t="inlineStr"/>
    </row>
    <row r="40" ht="15" customHeight="1">
      <c r="A40" t="inlineStr">
        <is>
          <t>A 21184-2025</t>
        </is>
      </c>
      <c r="B40" t="inlineStr">
        <is>
          <t>avverkningsanmälan</t>
        </is>
      </c>
      <c r="C40" t="inlineStr">
        <is>
          <t>Föryngringsavverkning</t>
        </is>
      </c>
      <c r="D40" s="1" t="n">
        <v>45777</v>
      </c>
      <c r="E40" s="1" t="n">
        <v>46224</v>
      </c>
      <c r="F40" t="inlineStr">
        <is>
          <t>NORRBOTTENS LÄN</t>
        </is>
      </c>
      <c r="G40" t="inlineStr">
        <is>
          <t>KIRUNA</t>
        </is>
      </c>
      <c r="I40" t="n">
        <v>20.1</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46224</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5533-2024</t>
        </is>
      </c>
      <c r="B42" t="inlineStr">
        <is>
          <t>avverkningsanmälan</t>
        </is>
      </c>
      <c r="C42" t="inlineStr">
        <is>
          <t>Avverkning för annat ändamål</t>
        </is>
      </c>
      <c r="D42" s="1" t="n">
        <v>45334</v>
      </c>
      <c r="E42" s="1" t="n">
        <v>46224</v>
      </c>
      <c r="F42" t="inlineStr">
        <is>
          <t>NORRBOTTENS LÄN</t>
        </is>
      </c>
      <c r="G42" t="inlineStr">
        <is>
          <t>KIRUNA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9605-2024</t>
        </is>
      </c>
      <c r="B43" t="inlineStr">
        <is>
          <t>avverkningsanmälan</t>
        </is>
      </c>
      <c r="C43" t="inlineStr">
        <is>
          <t>Föryngringsavverkning</t>
        </is>
      </c>
      <c r="D43" s="1" t="n">
        <v>45361</v>
      </c>
      <c r="E43" s="1" t="n">
        <v>46224</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5411-2024</t>
        </is>
      </c>
      <c r="B44" t="inlineStr">
        <is>
          <t>avverkningsanmälan</t>
        </is>
      </c>
      <c r="C44" t="inlineStr">
        <is>
          <t>Föryngringsavverkning</t>
        </is>
      </c>
      <c r="D44" s="1" t="n">
        <v>45331</v>
      </c>
      <c r="E44" s="1" t="n">
        <v>46224</v>
      </c>
      <c r="F44" t="inlineStr">
        <is>
          <t>NORRBOTTENS LÄN</t>
        </is>
      </c>
      <c r="G44" t="inlineStr">
        <is>
          <t>KIRUNA</t>
        </is>
      </c>
      <c r="I44" t="n">
        <v>3.9</v>
      </c>
      <c r="J44" t="n">
        <v>0</v>
      </c>
      <c r="K44" t="n">
        <v>0</v>
      </c>
      <c r="L44" t="n">
        <v>0</v>
      </c>
      <c r="M44" t="n">
        <v>0</v>
      </c>
      <c r="N44" t="n">
        <v>0</v>
      </c>
      <c r="O44" t="n">
        <v>0</v>
      </c>
      <c r="P44" t="n">
        <v>0</v>
      </c>
      <c r="Q44" t="n">
        <v>0</v>
      </c>
      <c r="R44" t="n">
        <v>0</v>
      </c>
      <c r="S44" t="n">
        <v>0</v>
      </c>
      <c r="T44" t="n">
        <v>0</v>
      </c>
      <c r="U44" t="n">
        <v>0</v>
      </c>
      <c r="V44" s="2" t="inlineStr"/>
    </row>
    <row r="45" ht="15" customHeight="1">
      <c r="A45" t="inlineStr">
        <is>
          <t>A 28707-2022</t>
        </is>
      </c>
      <c r="B45" t="inlineStr">
        <is>
          <t>avverkningsanmälan</t>
        </is>
      </c>
      <c r="C45" t="inlineStr">
        <is>
          <t>Föryngringsavverkning</t>
        </is>
      </c>
      <c r="D45" s="1" t="n">
        <v>44748</v>
      </c>
      <c r="E45" s="1" t="n">
        <v>46224</v>
      </c>
      <c r="F45" t="inlineStr">
        <is>
          <t>NORRBOTTENS LÄN</t>
        </is>
      </c>
      <c r="G45" t="inlineStr">
        <is>
          <t>KIRUNA</t>
        </is>
      </c>
      <c r="I45" t="n">
        <v>15.2</v>
      </c>
      <c r="J45" t="n">
        <v>0</v>
      </c>
      <c r="K45" t="n">
        <v>0</v>
      </c>
      <c r="L45" t="n">
        <v>0</v>
      </c>
      <c r="M45" t="n">
        <v>0</v>
      </c>
      <c r="N45" t="n">
        <v>0</v>
      </c>
      <c r="O45" t="n">
        <v>0</v>
      </c>
      <c r="P45" t="n">
        <v>0</v>
      </c>
      <c r="Q45" t="n">
        <v>0</v>
      </c>
      <c r="R45" t="n">
        <v>0</v>
      </c>
      <c r="S45" t="n">
        <v>0</v>
      </c>
      <c r="T45" t="n">
        <v>0</v>
      </c>
      <c r="U45" t="n">
        <v>0</v>
      </c>
      <c r="V45" s="2" t="inlineStr"/>
    </row>
    <row r="46" ht="15" customHeight="1">
      <c r="A46" t="inlineStr">
        <is>
          <t>A 9068-2023</t>
        </is>
      </c>
      <c r="B46" t="inlineStr">
        <is>
          <t>avverkningsanmälan</t>
        </is>
      </c>
      <c r="C46" t="inlineStr">
        <is>
          <t>Föryngringsavverkning</t>
        </is>
      </c>
      <c r="D46" s="1" t="n">
        <v>44979</v>
      </c>
      <c r="E46" s="1" t="n">
        <v>46224</v>
      </c>
      <c r="F46" t="inlineStr">
        <is>
          <t>NORRBOTTENS LÄN</t>
        </is>
      </c>
      <c r="G46" t="inlineStr">
        <is>
          <t>KIRUNA</t>
        </is>
      </c>
      <c r="H46" t="inlineStr">
        <is>
          <t>SCA</t>
        </is>
      </c>
      <c r="I46" t="n">
        <v>4.6</v>
      </c>
      <c r="J46" t="n">
        <v>0</v>
      </c>
      <c r="K46" t="n">
        <v>0</v>
      </c>
      <c r="L46" t="n">
        <v>0</v>
      </c>
      <c r="M46" t="n">
        <v>0</v>
      </c>
      <c r="N46" t="n">
        <v>0</v>
      </c>
      <c r="O46" t="n">
        <v>0</v>
      </c>
      <c r="P46" t="n">
        <v>0</v>
      </c>
      <c r="Q46" t="n">
        <v>0</v>
      </c>
      <c r="R46" t="n">
        <v>0</v>
      </c>
      <c r="S46" t="n">
        <v>0</v>
      </c>
      <c r="T46" t="n">
        <v>0</v>
      </c>
      <c r="U46" t="n">
        <v>0</v>
      </c>
      <c r="V46" s="2" t="inlineStr"/>
    </row>
    <row r="47" ht="15" customHeight="1">
      <c r="A47" t="inlineStr">
        <is>
          <t>A 93-2024</t>
        </is>
      </c>
      <c r="B47" t="inlineStr">
        <is>
          <t>avverkningsanmälan</t>
        </is>
      </c>
      <c r="C47" t="inlineStr">
        <is>
          <t>Avverkning för annat ändamål</t>
        </is>
      </c>
      <c r="D47" s="1" t="n">
        <v>45293</v>
      </c>
      <c r="E47" s="1" t="n">
        <v>46224</v>
      </c>
      <c r="F47" t="inlineStr">
        <is>
          <t>NORRBOTTENS LÄN</t>
        </is>
      </c>
      <c r="G47" t="inlineStr">
        <is>
          <t>KIRUNA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39271-2023</t>
        </is>
      </c>
      <c r="B48" t="inlineStr">
        <is>
          <t>avverkningsanmälan</t>
        </is>
      </c>
      <c r="C48" t="inlineStr">
        <is>
          <t>Föryngringsavverkning</t>
        </is>
      </c>
      <c r="D48" s="1" t="n">
        <v>45162</v>
      </c>
      <c r="E48" s="1" t="n">
        <v>46224</v>
      </c>
      <c r="F48" t="inlineStr">
        <is>
          <t>NORRBOTTENS LÄN</t>
        </is>
      </c>
      <c r="G48" t="inlineStr">
        <is>
          <t>KIRUNA</t>
        </is>
      </c>
      <c r="I48" t="n">
        <v>51.9</v>
      </c>
      <c r="J48" t="n">
        <v>0</v>
      </c>
      <c r="K48" t="n">
        <v>0</v>
      </c>
      <c r="L48" t="n">
        <v>0</v>
      </c>
      <c r="M48" t="n">
        <v>0</v>
      </c>
      <c r="N48" t="n">
        <v>0</v>
      </c>
      <c r="O48" t="n">
        <v>0</v>
      </c>
      <c r="P48" t="n">
        <v>0</v>
      </c>
      <c r="Q48" t="n">
        <v>0</v>
      </c>
      <c r="R48" t="n">
        <v>0</v>
      </c>
      <c r="S48" t="n">
        <v>0</v>
      </c>
      <c r="T48" t="n">
        <v>0</v>
      </c>
      <c r="U48" t="n">
        <v>0</v>
      </c>
      <c r="V48" s="2" t="inlineStr"/>
    </row>
    <row r="49" ht="15" customHeight="1">
      <c r="A49" t="inlineStr">
        <is>
          <t>A 18712-2025</t>
        </is>
      </c>
      <c r="B49" t="inlineStr">
        <is>
          <t>avverkningsanmälan</t>
        </is>
      </c>
      <c r="C49" t="inlineStr">
        <is>
          <t>Föryngringsavverkning</t>
        </is>
      </c>
      <c r="D49" s="1" t="n">
        <v>45763</v>
      </c>
      <c r="E49" s="1" t="n">
        <v>46224</v>
      </c>
      <c r="F49" t="inlineStr">
        <is>
          <t>NORRBOTTENS LÄN</t>
        </is>
      </c>
      <c r="G49" t="inlineStr">
        <is>
          <t>KIRUNA</t>
        </is>
      </c>
      <c r="I49" t="n">
        <v>66.5</v>
      </c>
      <c r="J49" t="n">
        <v>0</v>
      </c>
      <c r="K49" t="n">
        <v>0</v>
      </c>
      <c r="L49" t="n">
        <v>0</v>
      </c>
      <c r="M49" t="n">
        <v>0</v>
      </c>
      <c r="N49" t="n">
        <v>0</v>
      </c>
      <c r="O49" t="n">
        <v>0</v>
      </c>
      <c r="P49" t="n">
        <v>0</v>
      </c>
      <c r="Q49" t="n">
        <v>0</v>
      </c>
      <c r="R49" t="n">
        <v>0</v>
      </c>
      <c r="S49" t="n">
        <v>0</v>
      </c>
      <c r="T49" t="n">
        <v>0</v>
      </c>
      <c r="U49" t="n">
        <v>0</v>
      </c>
      <c r="V49" s="2" t="inlineStr"/>
    </row>
    <row r="50" ht="15" customHeight="1">
      <c r="A50" t="inlineStr">
        <is>
          <t>A 56168-2023</t>
        </is>
      </c>
      <c r="B50" t="inlineStr">
        <is>
          <t>avverkningsanmälan</t>
        </is>
      </c>
      <c r="C50" t="inlineStr">
        <is>
          <t>Avverkning för annat ändamål</t>
        </is>
      </c>
      <c r="D50" s="1" t="n">
        <v>45236</v>
      </c>
      <c r="E50" s="1" t="n">
        <v>46224</v>
      </c>
      <c r="F50" t="inlineStr">
        <is>
          <t>NORRBOTTENS LÄN</t>
        </is>
      </c>
      <c r="G50" t="inlineStr">
        <is>
          <t>KIRUNA</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22494-2024</t>
        </is>
      </c>
      <c r="B51" t="inlineStr">
        <is>
          <t>avverkningsanmälan</t>
        </is>
      </c>
      <c r="C51" t="inlineStr">
        <is>
          <t>Föryngringsavverkning</t>
        </is>
      </c>
      <c r="D51" s="1" t="n">
        <v>45447</v>
      </c>
      <c r="E51" s="1" t="n">
        <v>46224</v>
      </c>
      <c r="F51" t="inlineStr">
        <is>
          <t>NORRBOTTENS LÄN</t>
        </is>
      </c>
      <c r="G51" t="inlineStr">
        <is>
          <t>KIRUNA</t>
        </is>
      </c>
      <c r="I51" t="n">
        <v>6</v>
      </c>
      <c r="J51" t="n">
        <v>0</v>
      </c>
      <c r="K51" t="n">
        <v>0</v>
      </c>
      <c r="L51" t="n">
        <v>0</v>
      </c>
      <c r="M51" t="n">
        <v>0</v>
      </c>
      <c r="N51" t="n">
        <v>0</v>
      </c>
      <c r="O51" t="n">
        <v>0</v>
      </c>
      <c r="P51" t="n">
        <v>0</v>
      </c>
      <c r="Q51" t="n">
        <v>0</v>
      </c>
      <c r="R51" t="n">
        <v>0</v>
      </c>
      <c r="S51" t="n">
        <v>0</v>
      </c>
      <c r="T51" t="n">
        <v>0</v>
      </c>
      <c r="U51" t="n">
        <v>0</v>
      </c>
      <c r="V51" s="2" t="inlineStr"/>
    </row>
    <row r="52" ht="15" customHeight="1">
      <c r="A52" t="inlineStr">
        <is>
          <t>A 13405-2026</t>
        </is>
      </c>
      <c r="B52" t="inlineStr">
        <is>
          <t>avverkningsanmälan</t>
        </is>
      </c>
      <c r="C52" t="inlineStr">
        <is>
          <t>Föryngringsavverkning</t>
        </is>
      </c>
      <c r="D52" s="1" t="n">
        <v>46094</v>
      </c>
      <c r="E52" s="1" t="n">
        <v>46224</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t="n">
        <v>0</v>
      </c>
      <c r="V52" s="2" t="inlineStr"/>
    </row>
    <row r="53" ht="15" customHeight="1">
      <c r="A53" t="inlineStr">
        <is>
          <t>A 16197-2026</t>
        </is>
      </c>
      <c r="B53" t="inlineStr">
        <is>
          <t>avverkningsanmälan</t>
        </is>
      </c>
      <c r="C53" t="inlineStr">
        <is>
          <t>Avverkning för annat ändamål</t>
        </is>
      </c>
      <c r="D53" s="1" t="n">
        <v>46108</v>
      </c>
      <c r="E53" s="1" t="n">
        <v>46224</v>
      </c>
      <c r="F53" t="inlineStr">
        <is>
          <t>NORRBOTTENS LÄN</t>
        </is>
      </c>
      <c r="G53" t="inlineStr">
        <is>
          <t>KIRUNA</t>
        </is>
      </c>
      <c r="H53" t="inlineStr">
        <is>
          <t>Övriga statliga verk och myndigheter</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18388-2026</t>
        </is>
      </c>
      <c r="B54" t="inlineStr">
        <is>
          <t>avverkningsanmälan</t>
        </is>
      </c>
      <c r="C54" t="inlineStr">
        <is>
          <t>Föryngringsavverkning</t>
        </is>
      </c>
      <c r="D54" s="1" t="n">
        <v>46126</v>
      </c>
      <c r="E54" s="1" t="n">
        <v>46224</v>
      </c>
      <c r="F54" t="inlineStr">
        <is>
          <t>NORRBOTTENS LÄN</t>
        </is>
      </c>
      <c r="G54" t="inlineStr">
        <is>
          <t>KIRUNA</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12937-2026</t>
        </is>
      </c>
      <c r="B55" t="inlineStr">
        <is>
          <t>avverkningsanmälan</t>
        </is>
      </c>
      <c r="C55" t="inlineStr">
        <is>
          <t>Föryngringsavverkning</t>
        </is>
      </c>
      <c r="D55" s="1" t="n">
        <v>46092</v>
      </c>
      <c r="E55" s="1" t="n">
        <v>46224</v>
      </c>
      <c r="F55" t="inlineStr">
        <is>
          <t>NORRBOTTENS LÄN</t>
        </is>
      </c>
      <c r="G55" t="inlineStr">
        <is>
          <t>KIRUNA</t>
        </is>
      </c>
      <c r="I55" t="n">
        <v>37.2</v>
      </c>
      <c r="J55" t="n">
        <v>0</v>
      </c>
      <c r="K55" t="n">
        <v>0</v>
      </c>
      <c r="L55" t="n">
        <v>0</v>
      </c>
      <c r="M55" t="n">
        <v>0</v>
      </c>
      <c r="N55" t="n">
        <v>0</v>
      </c>
      <c r="O55" t="n">
        <v>0</v>
      </c>
      <c r="P55" t="n">
        <v>0</v>
      </c>
      <c r="Q55" t="n">
        <v>0</v>
      </c>
      <c r="R55" t="n">
        <v>0</v>
      </c>
      <c r="S55" t="n">
        <v>0</v>
      </c>
      <c r="T55" t="n">
        <v>0</v>
      </c>
      <c r="U55" t="n">
        <v>0</v>
      </c>
      <c r="V55" s="2" t="inlineStr"/>
    </row>
    <row r="56" ht="15" customHeight="1">
      <c r="A56" t="inlineStr">
        <is>
          <t>A 12969-2026</t>
        </is>
      </c>
      <c r="B56" t="inlineStr">
        <is>
          <t>avverkningsanmälan</t>
        </is>
      </c>
      <c r="C56" t="inlineStr">
        <is>
          <t>Föryngringsavverkning</t>
        </is>
      </c>
      <c r="D56" s="1" t="n">
        <v>46092</v>
      </c>
      <c r="E56" s="1" t="n">
        <v>46224</v>
      </c>
      <c r="F56" t="inlineStr">
        <is>
          <t>NORRBOTTENS LÄN</t>
        </is>
      </c>
      <c r="G56" t="inlineStr">
        <is>
          <t>KIRUNA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12984-2026</t>
        </is>
      </c>
      <c r="B57" t="inlineStr">
        <is>
          <t>avverkningsanmälan</t>
        </is>
      </c>
      <c r="C57" t="inlineStr">
        <is>
          <t>Föryngringsavverkning</t>
        </is>
      </c>
      <c r="D57" s="1" t="n">
        <v>46092</v>
      </c>
      <c r="E57" s="1" t="n">
        <v>46224</v>
      </c>
      <c r="F57" t="inlineStr">
        <is>
          <t>NORRBOTTENS LÄN</t>
        </is>
      </c>
      <c r="G57" t="inlineStr">
        <is>
          <t>KIRUNA</t>
        </is>
      </c>
      <c r="I57" t="n">
        <v>18.2</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46224</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9069-2023</t>
        </is>
      </c>
      <c r="B59" t="inlineStr">
        <is>
          <t>avverkningsanmälan</t>
        </is>
      </c>
      <c r="C59" t="inlineStr">
        <is>
          <t>Föryngringsavverkning</t>
        </is>
      </c>
      <c r="D59" s="1" t="n">
        <v>44979</v>
      </c>
      <c r="E59" s="1" t="n">
        <v>46224</v>
      </c>
      <c r="F59" t="inlineStr">
        <is>
          <t>NORRBOTTENS LÄN</t>
        </is>
      </c>
      <c r="G59" t="inlineStr">
        <is>
          <t>KIRUNA</t>
        </is>
      </c>
      <c r="H59" t="inlineStr">
        <is>
          <t>SCA</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39006-2023</t>
        </is>
      </c>
      <c r="B60" t="inlineStr">
        <is>
          <t>avverkningsanmälan</t>
        </is>
      </c>
      <c r="C60" t="inlineStr">
        <is>
          <t>Avverkning för annat ändamål</t>
        </is>
      </c>
      <c r="D60" s="1" t="n">
        <v>45162</v>
      </c>
      <c r="E60" s="1" t="n">
        <v>46224</v>
      </c>
      <c r="F60" t="inlineStr">
        <is>
          <t>NORRBOTTENS LÄN</t>
        </is>
      </c>
      <c r="G60" t="inlineStr">
        <is>
          <t>KIRUNA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20744-2024</t>
        </is>
      </c>
      <c r="B61" t="inlineStr">
        <is>
          <t>avverkningsanmälan</t>
        </is>
      </c>
      <c r="C61" t="inlineStr">
        <is>
          <t>Föryngringsavverkning</t>
        </is>
      </c>
      <c r="D61" s="1" t="n">
        <v>45436</v>
      </c>
      <c r="E61" s="1" t="n">
        <v>46224</v>
      </c>
      <c r="F61" t="inlineStr">
        <is>
          <t>NORRBOTTENS LÄN</t>
        </is>
      </c>
      <c r="G61" t="inlineStr">
        <is>
          <t>KIRUNA</t>
        </is>
      </c>
      <c r="I61" t="n">
        <v>9.699999999999999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46224</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28533-2026</t>
        </is>
      </c>
      <c r="B63" t="inlineStr">
        <is>
          <t>avverkningsanmälan</t>
        </is>
      </c>
      <c r="C63" t="inlineStr">
        <is>
          <t>Föryngringsavverkning</t>
        </is>
      </c>
      <c r="D63" s="1" t="n">
        <v>46197</v>
      </c>
      <c r="E63" s="1" t="n">
        <v>46224</v>
      </c>
      <c r="F63" t="inlineStr">
        <is>
          <t>NORRBOTTENS LÄN</t>
        </is>
      </c>
      <c r="G63" t="inlineStr">
        <is>
          <t>KIRUNA</t>
        </is>
      </c>
      <c r="I63" t="n">
        <v>54.2</v>
      </c>
      <c r="J63" t="n">
        <v>0</v>
      </c>
      <c r="K63" t="n">
        <v>0</v>
      </c>
      <c r="L63" t="n">
        <v>0</v>
      </c>
      <c r="M63" t="n">
        <v>0</v>
      </c>
      <c r="N63" t="n">
        <v>0</v>
      </c>
      <c r="O63" t="n">
        <v>0</v>
      </c>
      <c r="P63" t="n">
        <v>0</v>
      </c>
      <c r="Q63" t="n">
        <v>0</v>
      </c>
      <c r="R63" t="n">
        <v>0</v>
      </c>
      <c r="S63" t="n">
        <v>0</v>
      </c>
      <c r="T63" t="n">
        <v>0</v>
      </c>
      <c r="U63" t="n">
        <v>0</v>
      </c>
      <c r="V63" s="2" t="inlineStr"/>
    </row>
    <row r="64" ht="15" customHeight="1">
      <c r="A64" t="inlineStr">
        <is>
          <t>A 8350-2025</t>
        </is>
      </c>
      <c r="B64" t="inlineStr">
        <is>
          <t>avverkningsanmälan</t>
        </is>
      </c>
      <c r="C64" t="inlineStr">
        <is>
          <t>Avverkning för annat ändamål</t>
        </is>
      </c>
      <c r="D64" s="1" t="n">
        <v>45708</v>
      </c>
      <c r="E64" s="1" t="n">
        <v>46224</v>
      </c>
      <c r="F64" t="inlineStr">
        <is>
          <t>NORRBOTTENS LÄN</t>
        </is>
      </c>
      <c r="G64" t="inlineStr">
        <is>
          <t>KIRUNA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21268-2026</t>
        </is>
      </c>
      <c r="B65" t="inlineStr">
        <is>
          <t>avverkningsanmälan</t>
        </is>
      </c>
      <c r="C65" t="inlineStr">
        <is>
          <t>Föryngringsavverkning</t>
        </is>
      </c>
      <c r="D65" s="1" t="n">
        <v>46147</v>
      </c>
      <c r="E65" s="1" t="n">
        <v>46224</v>
      </c>
      <c r="F65" t="inlineStr">
        <is>
          <t>NORRBOTTENS LÄN</t>
        </is>
      </c>
      <c r="G65" t="inlineStr">
        <is>
          <t>KIRUNA</t>
        </is>
      </c>
      <c r="I65" t="n">
        <v>35.7</v>
      </c>
      <c r="J65" t="n">
        <v>0</v>
      </c>
      <c r="K65" t="n">
        <v>0</v>
      </c>
      <c r="L65" t="n">
        <v>0</v>
      </c>
      <c r="M65" t="n">
        <v>0</v>
      </c>
      <c r="N65" t="n">
        <v>0</v>
      </c>
      <c r="O65" t="n">
        <v>0</v>
      </c>
      <c r="P65" t="n">
        <v>0</v>
      </c>
      <c r="Q65" t="n">
        <v>0</v>
      </c>
      <c r="R65" t="n">
        <v>0</v>
      </c>
      <c r="S65" t="n">
        <v>0</v>
      </c>
      <c r="T65" t="n">
        <v>0</v>
      </c>
      <c r="U65" t="n">
        <v>0</v>
      </c>
      <c r="V65" s="2" t="inlineStr"/>
    </row>
    <row r="66" ht="15" customHeight="1">
      <c r="A66" t="inlineStr">
        <is>
          <t>A 22504-2024</t>
        </is>
      </c>
      <c r="B66" t="inlineStr">
        <is>
          <t>avverkningsanmälan</t>
        </is>
      </c>
      <c r="C66" t="inlineStr">
        <is>
          <t>Föryngringsavverkning</t>
        </is>
      </c>
      <c r="D66" s="1" t="n">
        <v>45447</v>
      </c>
      <c r="E66" s="1" t="n">
        <v>46224</v>
      </c>
      <c r="F66" t="inlineStr">
        <is>
          <t>NORRBOTTENS LÄN</t>
        </is>
      </c>
      <c r="G66" t="inlineStr">
        <is>
          <t>KIRUNA</t>
        </is>
      </c>
      <c r="I66" t="n">
        <v>15.6</v>
      </c>
      <c r="J66" t="n">
        <v>0</v>
      </c>
      <c r="K66" t="n">
        <v>0</v>
      </c>
      <c r="L66" t="n">
        <v>0</v>
      </c>
      <c r="M66" t="n">
        <v>0</v>
      </c>
      <c r="N66" t="n">
        <v>0</v>
      </c>
      <c r="O66" t="n">
        <v>0</v>
      </c>
      <c r="P66" t="n">
        <v>0</v>
      </c>
      <c r="Q66" t="n">
        <v>0</v>
      </c>
      <c r="R66" t="n">
        <v>0</v>
      </c>
      <c r="S66" t="n">
        <v>0</v>
      </c>
      <c r="T66" t="n">
        <v>0</v>
      </c>
      <c r="U66" t="n">
        <v>0</v>
      </c>
      <c r="V66" s="2" t="inlineStr"/>
    </row>
    <row r="67" ht="15" customHeight="1">
      <c r="A67" t="inlineStr">
        <is>
          <t>A 29048-2026</t>
        </is>
      </c>
      <c r="B67" t="inlineStr">
        <is>
          <t>avverkningsanmälan</t>
        </is>
      </c>
      <c r="C67" t="inlineStr">
        <is>
          <t>Föryngringsavverkning</t>
        </is>
      </c>
      <c r="D67" s="1" t="n">
        <v>46199</v>
      </c>
      <c r="E67" s="1" t="n">
        <v>46224</v>
      </c>
      <c r="F67" t="inlineStr">
        <is>
          <t>NORRBOTTENS LÄN</t>
        </is>
      </c>
      <c r="G67" t="inlineStr">
        <is>
          <t>KIRUNA</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29167-2026</t>
        </is>
      </c>
      <c r="B68" t="inlineStr">
        <is>
          <t>avverkningsanmälan</t>
        </is>
      </c>
      <c r="C68" t="inlineStr">
        <is>
          <t>Föryngringsavverkning</t>
        </is>
      </c>
      <c r="D68" s="1" t="n">
        <v>46202</v>
      </c>
      <c r="E68" s="1" t="n">
        <v>46224</v>
      </c>
      <c r="F68" t="inlineStr">
        <is>
          <t>NORRBOTTENS LÄN</t>
        </is>
      </c>
      <c r="G68" t="inlineStr">
        <is>
          <t>KIRUNA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20578-2025</t>
        </is>
      </c>
      <c r="B69" t="inlineStr">
        <is>
          <t>avverkningsanmälan</t>
        </is>
      </c>
      <c r="C69" t="inlineStr">
        <is>
          <t>Föryngringsavverkning</t>
        </is>
      </c>
      <c r="D69" s="1" t="n">
        <v>45775</v>
      </c>
      <c r="E69" s="1" t="n">
        <v>46224</v>
      </c>
      <c r="F69" t="inlineStr">
        <is>
          <t>NORRBOTTENS LÄN</t>
        </is>
      </c>
      <c r="G69" t="inlineStr">
        <is>
          <t>KIRUNA</t>
        </is>
      </c>
      <c r="H69" t="inlineStr">
        <is>
          <t>Sveaskog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62452-2022</t>
        </is>
      </c>
      <c r="B70" t="inlineStr">
        <is>
          <t>avverkningsanmälan</t>
        </is>
      </c>
      <c r="C70" t="inlineStr">
        <is>
          <t>Föryngringsavverkning</t>
        </is>
      </c>
      <c r="D70" s="1" t="n">
        <v>44916</v>
      </c>
      <c r="E70" s="1" t="n">
        <v>46224</v>
      </c>
      <c r="F70" t="inlineStr">
        <is>
          <t>NORRBOTTENS LÄN</t>
        </is>
      </c>
      <c r="G70" t="inlineStr">
        <is>
          <t>KIRUNA</t>
        </is>
      </c>
      <c r="I70" t="n">
        <v>7.2</v>
      </c>
      <c r="J70" t="n">
        <v>0</v>
      </c>
      <c r="K70" t="n">
        <v>0</v>
      </c>
      <c r="L70" t="n">
        <v>0</v>
      </c>
      <c r="M70" t="n">
        <v>0</v>
      </c>
      <c r="N70" t="n">
        <v>0</v>
      </c>
      <c r="O70" t="n">
        <v>0</v>
      </c>
      <c r="P70" t="n">
        <v>0</v>
      </c>
      <c r="Q70" t="n">
        <v>0</v>
      </c>
      <c r="R70" t="n">
        <v>0</v>
      </c>
      <c r="S70" t="n">
        <v>0</v>
      </c>
      <c r="T70" t="n">
        <v>0</v>
      </c>
      <c r="U70" t="n">
        <v>0</v>
      </c>
      <c r="V70" s="2" t="inlineStr"/>
    </row>
    <row r="71" ht="15" customHeight="1">
      <c r="A71" t="inlineStr">
        <is>
          <t>A 29231-2026</t>
        </is>
      </c>
      <c r="B71" t="inlineStr">
        <is>
          <t>avverkningsanmälan</t>
        </is>
      </c>
      <c r="C71" t="inlineStr">
        <is>
          <t>Föryngringsavverkning</t>
        </is>
      </c>
      <c r="D71" s="1" t="n">
        <v>46202</v>
      </c>
      <c r="E71" s="1" t="n">
        <v>46224</v>
      </c>
      <c r="F71" t="inlineStr">
        <is>
          <t>NORRBOTTENS LÄN</t>
        </is>
      </c>
      <c r="G71" t="inlineStr">
        <is>
          <t>KIRUNA</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38577-2024</t>
        </is>
      </c>
      <c r="B72" t="inlineStr">
        <is>
          <t>avverkningsanmälan</t>
        </is>
      </c>
      <c r="C72" t="inlineStr">
        <is>
          <t>Föryngringsavverkning</t>
        </is>
      </c>
      <c r="D72" s="1" t="n">
        <v>45546</v>
      </c>
      <c r="E72" s="1" t="n">
        <v>46224</v>
      </c>
      <c r="F72" t="inlineStr">
        <is>
          <t>NORRBOTTENS LÄN</t>
        </is>
      </c>
      <c r="G72" t="inlineStr">
        <is>
          <t>KIRUNA</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23469-2022</t>
        </is>
      </c>
      <c r="B73" t="inlineStr">
        <is>
          <t>avverkningsanmälan</t>
        </is>
      </c>
      <c r="C73" t="inlineStr">
        <is>
          <t>Föryngringsavverkning</t>
        </is>
      </c>
      <c r="D73" s="1" t="n">
        <v>44721</v>
      </c>
      <c r="E73" s="1" t="n">
        <v>46224</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t="n">
        <v>0</v>
      </c>
      <c r="V73" s="2" t="inlineStr"/>
    </row>
    <row r="74" ht="15" customHeight="1">
      <c r="A74" t="inlineStr">
        <is>
          <t>A 29171-2026</t>
        </is>
      </c>
      <c r="B74" t="inlineStr">
        <is>
          <t>avverkningsanmälan</t>
        </is>
      </c>
      <c r="C74" t="inlineStr">
        <is>
          <t>Föryngringsavverkning</t>
        </is>
      </c>
      <c r="D74" s="1" t="n">
        <v>46202</v>
      </c>
      <c r="E74" s="1" t="n">
        <v>46224</v>
      </c>
      <c r="F74" t="inlineStr">
        <is>
          <t>NORRBOTTENS LÄN</t>
        </is>
      </c>
      <c r="G74" t="inlineStr">
        <is>
          <t>KIRUNA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46224</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18738-2022</t>
        </is>
      </c>
      <c r="B76" t="inlineStr">
        <is>
          <t>avverkningsanmälan</t>
        </is>
      </c>
      <c r="C76" t="inlineStr">
        <is>
          <t>Avverkning för annat ändamål</t>
        </is>
      </c>
      <c r="D76" s="1" t="n">
        <v>44687</v>
      </c>
      <c r="E76" s="1" t="n">
        <v>46224</v>
      </c>
      <c r="F76" t="inlineStr">
        <is>
          <t>NORRBOTTENS LÄN</t>
        </is>
      </c>
      <c r="G76" t="inlineStr">
        <is>
          <t>KIRUNA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30548-2026</t>
        </is>
      </c>
      <c r="B77" t="inlineStr">
        <is>
          <t>avverkningsanmälan</t>
        </is>
      </c>
      <c r="C77" t="inlineStr">
        <is>
          <t>Föryngringsavverkning</t>
        </is>
      </c>
      <c r="D77" s="1" t="n">
        <v>46210</v>
      </c>
      <c r="E77" s="1" t="n">
        <v>46224</v>
      </c>
      <c r="F77" t="inlineStr">
        <is>
          <t>NORRBOTTENS LÄN</t>
        </is>
      </c>
      <c r="G77" t="inlineStr">
        <is>
          <t>KIRUNA</t>
        </is>
      </c>
      <c r="I77" t="n">
        <v>25.3</v>
      </c>
      <c r="J77" t="n">
        <v>0</v>
      </c>
      <c r="K77" t="n">
        <v>0</v>
      </c>
      <c r="L77" t="n">
        <v>0</v>
      </c>
      <c r="M77" t="n">
        <v>0</v>
      </c>
      <c r="N77" t="n">
        <v>0</v>
      </c>
      <c r="O77" t="n">
        <v>0</v>
      </c>
      <c r="P77" t="n">
        <v>0</v>
      </c>
      <c r="Q77" t="n">
        <v>0</v>
      </c>
      <c r="R77" t="n">
        <v>0</v>
      </c>
      <c r="S77" t="n">
        <v>0</v>
      </c>
      <c r="T77" t="n">
        <v>0</v>
      </c>
      <c r="U77" t="n">
        <v>0</v>
      </c>
      <c r="V77" s="2" t="inlineStr"/>
    </row>
    <row r="78" ht="15" customHeight="1">
      <c r="A78" t="inlineStr">
        <is>
          <t>A 30524-2026</t>
        </is>
      </c>
      <c r="B78" t="inlineStr">
        <is>
          <t>avverkningsanmälan</t>
        </is>
      </c>
      <c r="C78" t="inlineStr">
        <is>
          <t>Föryngringsavverkning</t>
        </is>
      </c>
      <c r="D78" s="1" t="n">
        <v>46210</v>
      </c>
      <c r="E78" s="1" t="n">
        <v>46224</v>
      </c>
      <c r="F78" t="inlineStr">
        <is>
          <t>NORRBOTTENS LÄN</t>
        </is>
      </c>
      <c r="G78" t="inlineStr">
        <is>
          <t>KIRUNA</t>
        </is>
      </c>
      <c r="I78" t="n">
        <v>21.7</v>
      </c>
      <c r="J78" t="n">
        <v>0</v>
      </c>
      <c r="K78" t="n">
        <v>0</v>
      </c>
      <c r="L78" t="n">
        <v>0</v>
      </c>
      <c r="M78" t="n">
        <v>0</v>
      </c>
      <c r="N78" t="n">
        <v>0</v>
      </c>
      <c r="O78" t="n">
        <v>0</v>
      </c>
      <c r="P78" t="n">
        <v>0</v>
      </c>
      <c r="Q78" t="n">
        <v>0</v>
      </c>
      <c r="R78" t="n">
        <v>0</v>
      </c>
      <c r="S78" t="n">
        <v>0</v>
      </c>
      <c r="T78" t="n">
        <v>0</v>
      </c>
      <c r="U78" t="n">
        <v>0</v>
      </c>
      <c r="V78" s="2" t="inlineStr"/>
    </row>
    <row r="79" ht="15" customHeight="1">
      <c r="A79" t="inlineStr">
        <is>
          <t>A 30562-2026</t>
        </is>
      </c>
      <c r="B79" t="inlineStr">
        <is>
          <t>avverkningsanmälan</t>
        </is>
      </c>
      <c r="C79" t="inlineStr">
        <is>
          <t>Föryngringsavverkning</t>
        </is>
      </c>
      <c r="D79" s="1" t="n">
        <v>46210</v>
      </c>
      <c r="E79" s="1" t="n">
        <v>46224</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30594-2026</t>
        </is>
      </c>
      <c r="B80" t="inlineStr">
        <is>
          <t>avverkningsanmälan</t>
        </is>
      </c>
      <c r="C80" t="inlineStr">
        <is>
          <t>Föryngringsavverkning</t>
        </is>
      </c>
      <c r="D80" s="1" t="n">
        <v>46210</v>
      </c>
      <c r="E80" s="1" t="n">
        <v>46224</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5476-2024</t>
        </is>
      </c>
      <c r="B81" t="inlineStr">
        <is>
          <t>avverkningsanmälan</t>
        </is>
      </c>
      <c r="C81" t="inlineStr">
        <is>
          <t>Föryngringsavverkning</t>
        </is>
      </c>
      <c r="D81" s="1" t="n">
        <v>45333</v>
      </c>
      <c r="E81" s="1" t="n">
        <v>46224</v>
      </c>
      <c r="F81" t="inlineStr">
        <is>
          <t>NORRBOTTENS LÄN</t>
        </is>
      </c>
      <c r="G81" t="inlineStr">
        <is>
          <t>KIRUNA</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34693-2022</t>
        </is>
      </c>
      <c r="B82" t="inlineStr">
        <is>
          <t>avverkningsanmälan</t>
        </is>
      </c>
      <c r="C82" t="inlineStr">
        <is>
          <t>Föryngringsavverkning</t>
        </is>
      </c>
      <c r="D82" s="1" t="n">
        <v>44795</v>
      </c>
      <c r="E82" s="1" t="n">
        <v>46224</v>
      </c>
      <c r="F82" t="inlineStr">
        <is>
          <t>NORRBOTTENS LÄN</t>
        </is>
      </c>
      <c r="G82" t="inlineStr">
        <is>
          <t>KIRUNA</t>
        </is>
      </c>
      <c r="I82" t="n">
        <v>12.3</v>
      </c>
      <c r="J82" t="n">
        <v>0</v>
      </c>
      <c r="K82" t="n">
        <v>0</v>
      </c>
      <c r="L82" t="n">
        <v>0</v>
      </c>
      <c r="M82" t="n">
        <v>0</v>
      </c>
      <c r="N82" t="n">
        <v>0</v>
      </c>
      <c r="O82" t="n">
        <v>0</v>
      </c>
      <c r="P82" t="n">
        <v>0</v>
      </c>
      <c r="Q82" t="n">
        <v>0</v>
      </c>
      <c r="R82" t="n">
        <v>0</v>
      </c>
      <c r="S82" t="n">
        <v>0</v>
      </c>
      <c r="T82" t="n">
        <v>0</v>
      </c>
      <c r="U82" t="n">
        <v>0</v>
      </c>
      <c r="V82" s="2" t="inlineStr"/>
    </row>
    <row r="83" ht="15" customHeight="1">
      <c r="A83" t="inlineStr">
        <is>
          <t>A 41127-2023</t>
        </is>
      </c>
      <c r="B83" t="inlineStr">
        <is>
          <t>avverkningsanmälan</t>
        </is>
      </c>
      <c r="C83" t="inlineStr">
        <is>
          <t>Avverkning för annat ändamål</t>
        </is>
      </c>
      <c r="D83" s="1" t="n">
        <v>45173</v>
      </c>
      <c r="E83" s="1" t="n">
        <v>46224</v>
      </c>
      <c r="F83" t="inlineStr">
        <is>
          <t>NORRBOTTENS LÄN</t>
        </is>
      </c>
      <c r="G83" t="inlineStr">
        <is>
          <t>KIRUNA</t>
        </is>
      </c>
      <c r="H83" t="inlineStr">
        <is>
          <t>SCA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18721-2024</t>
        </is>
      </c>
      <c r="B84" t="inlineStr">
        <is>
          <t>avverkningsanmälan</t>
        </is>
      </c>
      <c r="C84" t="inlineStr">
        <is>
          <t>Föryngringsavverkning</t>
        </is>
      </c>
      <c r="D84" s="1" t="n">
        <v>45426</v>
      </c>
      <c r="E84" s="1" t="n">
        <v>46224</v>
      </c>
      <c r="F84" t="inlineStr">
        <is>
          <t>NORRBOTTENS LÄN</t>
        </is>
      </c>
      <c r="G84" t="inlineStr">
        <is>
          <t>KIRUNA</t>
        </is>
      </c>
      <c r="I84" t="n">
        <v>62.1</v>
      </c>
      <c r="J84" t="n">
        <v>0</v>
      </c>
      <c r="K84" t="n">
        <v>0</v>
      </c>
      <c r="L84" t="n">
        <v>0</v>
      </c>
      <c r="M84" t="n">
        <v>0</v>
      </c>
      <c r="N84" t="n">
        <v>0</v>
      </c>
      <c r="O84" t="n">
        <v>0</v>
      </c>
      <c r="P84" t="n">
        <v>0</v>
      </c>
      <c r="Q84" t="n">
        <v>0</v>
      </c>
      <c r="R84" t="n">
        <v>0</v>
      </c>
      <c r="S84" t="n">
        <v>0</v>
      </c>
      <c r="T84" t="n">
        <v>0</v>
      </c>
      <c r="U84" t="n">
        <v>0</v>
      </c>
      <c r="V84" s="2" t="inlineStr"/>
    </row>
    <row r="85" ht="15" customHeight="1">
      <c r="A85" t="inlineStr">
        <is>
          <t>A 13526-2024</t>
        </is>
      </c>
      <c r="B85" t="inlineStr">
        <is>
          <t>avverkningsanmälan</t>
        </is>
      </c>
      <c r="C85" t="inlineStr">
        <is>
          <t>Föryngringsavverkning</t>
        </is>
      </c>
      <c r="D85" s="1" t="n">
        <v>45387</v>
      </c>
      <c r="E85" s="1" t="n">
        <v>46224</v>
      </c>
      <c r="F85" t="inlineStr">
        <is>
          <t>NORRBOTTENS LÄN</t>
        </is>
      </c>
      <c r="G85" t="inlineStr">
        <is>
          <t>KIRUNA</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62439-2022</t>
        </is>
      </c>
      <c r="B86" t="inlineStr">
        <is>
          <t>avverkningsanmälan</t>
        </is>
      </c>
      <c r="C86" t="inlineStr">
        <is>
          <t>Föryngringsavverkning</t>
        </is>
      </c>
      <c r="D86" s="1" t="n">
        <v>44916</v>
      </c>
      <c r="E86" s="1" t="n">
        <v>46224</v>
      </c>
      <c r="F86" t="inlineStr">
        <is>
          <t>NORRBOTTENS LÄN</t>
        </is>
      </c>
      <c r="G86" t="inlineStr">
        <is>
          <t>KIRUNA</t>
        </is>
      </c>
      <c r="I86" t="n">
        <v>3.2</v>
      </c>
      <c r="J86" t="n">
        <v>0</v>
      </c>
      <c r="K86" t="n">
        <v>0</v>
      </c>
      <c r="L86" t="n">
        <v>0</v>
      </c>
      <c r="M86" t="n">
        <v>0</v>
      </c>
      <c r="N86" t="n">
        <v>0</v>
      </c>
      <c r="O86" t="n">
        <v>0</v>
      </c>
      <c r="P86" t="n">
        <v>0</v>
      </c>
      <c r="Q86" t="n">
        <v>0</v>
      </c>
      <c r="R86" t="n">
        <v>0</v>
      </c>
      <c r="S86" t="n">
        <v>0</v>
      </c>
      <c r="T86" t="n">
        <v>0</v>
      </c>
      <c r="U86" t="n">
        <v>0</v>
      </c>
      <c r="V86" s="2" t="inlineStr"/>
    </row>
    <row r="87">
      <c r="A87" t="inlineStr">
        <is>
          <t>S 637-2025</t>
        </is>
      </c>
      <c r="B87" t="inlineStr">
        <is>
          <t>samrådsanmälan</t>
        </is>
      </c>
      <c r="C87" t="inlineStr">
        <is>
          <t>Annan skogsbruksåtgärd</t>
        </is>
      </c>
      <c r="D87" s="1" t="n">
        <v>45714</v>
      </c>
      <c r="E87" s="1" t="n">
        <v>46224</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2026-07-21T01:33:39Z</dcterms:created>
  <dcterms:modified xmlns:dcterms="http://purl.org/dc/terms/" xmlns:xsi="http://www.w3.org/2001/XMLSchema-instance" xsi:type="dcterms:W3CDTF">2026-07-21T01:33:39Z</dcterms:modified>
</cp:coreProperties>
</file>