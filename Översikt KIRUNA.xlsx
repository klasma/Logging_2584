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45570</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45570</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45570</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38281-2020</t>
        </is>
      </c>
      <c r="B5" s="1" t="n">
        <v>44060</v>
      </c>
      <c r="C5" s="1" t="n">
        <v>45570</v>
      </c>
      <c r="D5" t="inlineStr">
        <is>
          <t>NORRBOTTENS LÄN</t>
        </is>
      </c>
      <c r="E5" t="inlineStr">
        <is>
          <t>KIRUNA</t>
        </is>
      </c>
      <c r="F5" t="inlineStr">
        <is>
          <t>Allmännings- och besparingsskogar</t>
        </is>
      </c>
      <c r="G5" t="n">
        <v>20</v>
      </c>
      <c r="H5" t="n">
        <v>2</v>
      </c>
      <c r="I5" t="n">
        <v>5</v>
      </c>
      <c r="J5" t="n">
        <v>7</v>
      </c>
      <c r="K5" t="n">
        <v>1</v>
      </c>
      <c r="L5" t="n">
        <v>0</v>
      </c>
      <c r="M5" t="n">
        <v>0</v>
      </c>
      <c r="N5" t="n">
        <v>0</v>
      </c>
      <c r="O5" t="n">
        <v>8</v>
      </c>
      <c r="P5" t="n">
        <v>1</v>
      </c>
      <c r="Q5" t="n">
        <v>14</v>
      </c>
      <c r="R5" s="2" t="inlineStr">
        <is>
          <t>Fläckporing
Blå taggsvamp
Granticka
Nordtagging
Orange taggsvamp
Rosenticka
Violmussling
Vitplätt
Blodticka
Dropptaggsvamp
Plattlummer
Skarp dropptaggsvamp
Vedticka
Tjäder</t>
        </is>
      </c>
      <c r="S5">
        <f>HYPERLINK("https://klasma.github.io/Logging_2584/artfynd/A 38281-2020 artfynd.xlsx", "A 38281-2020")</f>
        <v/>
      </c>
      <c r="T5">
        <f>HYPERLINK("https://klasma.github.io/Logging_2584/kartor/A 38281-2020 karta.png", "A 38281-2020")</f>
        <v/>
      </c>
      <c r="V5">
        <f>HYPERLINK("https://klasma.github.io/Logging_2584/klagomål/A 38281-2020 FSC-klagomål.docx", "A 38281-2020")</f>
        <v/>
      </c>
      <c r="W5">
        <f>HYPERLINK("https://klasma.github.io/Logging_2584/klagomålsmail/A 38281-2020 FSC-klagomål mail.docx", "A 38281-2020")</f>
        <v/>
      </c>
      <c r="X5">
        <f>HYPERLINK("https://klasma.github.io/Logging_2584/tillsyn/A 38281-2020 tillsynsbegäran.docx", "A 38281-2020")</f>
        <v/>
      </c>
      <c r="Y5">
        <f>HYPERLINK("https://klasma.github.io/Logging_2584/tillsynsmail/A 38281-2020 tillsynsbegäran mail.docx", "A 38281-2020")</f>
        <v/>
      </c>
      <c r="Z5">
        <f>HYPERLINK("https://klasma.github.io/Logging_2584/fåglar/A 38281-2020 prioriterade fågelarter.docx", "A 38281-2020")</f>
        <v/>
      </c>
    </row>
    <row r="6" ht="15" customHeight="1">
      <c r="A6" t="inlineStr">
        <is>
          <t>A 42505-2020</t>
        </is>
      </c>
      <c r="B6" s="1" t="n">
        <v>44074</v>
      </c>
      <c r="C6" s="1" t="n">
        <v>45570</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18726-2024</t>
        </is>
      </c>
      <c r="B7" s="1" t="n">
        <v>45426</v>
      </c>
      <c r="C7" s="1" t="n">
        <v>45570</v>
      </c>
      <c r="D7" t="inlineStr">
        <is>
          <t>NORRBOTTENS LÄN</t>
        </is>
      </c>
      <c r="E7" t="inlineStr">
        <is>
          <t>KIRUNA</t>
        </is>
      </c>
      <c r="F7" t="inlineStr">
        <is>
          <t>Allmännings- och besparingsskogar</t>
        </is>
      </c>
      <c r="G7" t="n">
        <v>4.9</v>
      </c>
      <c r="H7" t="n">
        <v>0</v>
      </c>
      <c r="I7" t="n">
        <v>1</v>
      </c>
      <c r="J7" t="n">
        <v>6</v>
      </c>
      <c r="K7" t="n">
        <v>6</v>
      </c>
      <c r="L7" t="n">
        <v>0</v>
      </c>
      <c r="M7" t="n">
        <v>0</v>
      </c>
      <c r="N7" t="n">
        <v>0</v>
      </c>
      <c r="O7" t="n">
        <v>12</v>
      </c>
      <c r="P7" t="n">
        <v>6</v>
      </c>
      <c r="Q7" t="n">
        <v>13</v>
      </c>
      <c r="R7" s="2" t="inlineStr">
        <is>
          <t>Fläckporing
Goliatmusseron
Gräddporing
Smalfotad taggsvamp
Tajgataggsvamp
Tallgråticka
Blå taggsvamp
Orange taggsvamp
Skrovlig taggsvamp
Svartvit taggsvamp
Talltaggsvamp
Vaddporing
Dropptaggsvamp</t>
        </is>
      </c>
      <c r="S7">
        <f>HYPERLINK("https://klasma.github.io/Logging_2584/artfynd/A 18726-2024 artfynd.xlsx", "A 18726-2024")</f>
        <v/>
      </c>
      <c r="T7">
        <f>HYPERLINK("https://klasma.github.io/Logging_2584/kartor/A 18726-2024 karta.png", "A 18726-2024")</f>
        <v/>
      </c>
      <c r="V7">
        <f>HYPERLINK("https://klasma.github.io/Logging_2584/klagomål/A 18726-2024 FSC-klagomål.docx", "A 18726-2024")</f>
        <v/>
      </c>
      <c r="W7">
        <f>HYPERLINK("https://klasma.github.io/Logging_2584/klagomålsmail/A 18726-2024 FSC-klagomål mail.docx", "A 18726-2024")</f>
        <v/>
      </c>
      <c r="X7">
        <f>HYPERLINK("https://klasma.github.io/Logging_2584/tillsyn/A 18726-2024 tillsynsbegäran.docx", "A 18726-2024")</f>
        <v/>
      </c>
      <c r="Y7">
        <f>HYPERLINK("https://klasma.github.io/Logging_2584/tillsynsmail/A 18726-2024 tillsynsbegäran mail.docx", "A 18726-2024")</f>
        <v/>
      </c>
    </row>
    <row r="8" ht="15" customHeight="1">
      <c r="A8" t="inlineStr">
        <is>
          <t>A 38722-2020</t>
        </is>
      </c>
      <c r="B8" s="1" t="n">
        <v>44061</v>
      </c>
      <c r="C8" s="1" t="n">
        <v>45570</v>
      </c>
      <c r="D8" t="inlineStr">
        <is>
          <t>NORRBOTTENS LÄN</t>
        </is>
      </c>
      <c r="E8" t="inlineStr">
        <is>
          <t>KIRUNA</t>
        </is>
      </c>
      <c r="G8" t="n">
        <v>43.4</v>
      </c>
      <c r="H8" t="n">
        <v>1</v>
      </c>
      <c r="I8" t="n">
        <v>2</v>
      </c>
      <c r="J8" t="n">
        <v>7</v>
      </c>
      <c r="K8" t="n">
        <v>1</v>
      </c>
      <c r="L8" t="n">
        <v>0</v>
      </c>
      <c r="M8" t="n">
        <v>0</v>
      </c>
      <c r="N8" t="n">
        <v>0</v>
      </c>
      <c r="O8" t="n">
        <v>8</v>
      </c>
      <c r="P8" t="n">
        <v>1</v>
      </c>
      <c r="Q8" t="n">
        <v>10</v>
      </c>
      <c r="R8" s="2" t="inlineStr">
        <is>
          <t>Fläckporing
Blanksvart spiklav
Blå taggsvamp
Dvärgbägarlav
Orange taggsvamp
Skrovlig taggsvamp
Vedskivlav
Vitplätt
Dropptaggsvamp
Plattlummer</t>
        </is>
      </c>
      <c r="S8">
        <f>HYPERLINK("https://klasma.github.io/Logging_2584/artfynd/A 38722-2020 artfynd.xlsx", "A 38722-2020")</f>
        <v/>
      </c>
      <c r="T8">
        <f>HYPERLINK("https://klasma.github.io/Logging_2584/kartor/A 38722-2020 karta.png", "A 38722-2020")</f>
        <v/>
      </c>
      <c r="V8">
        <f>HYPERLINK("https://klasma.github.io/Logging_2584/klagomål/A 38722-2020 FSC-klagomål.docx", "A 38722-2020")</f>
        <v/>
      </c>
      <c r="W8">
        <f>HYPERLINK("https://klasma.github.io/Logging_2584/klagomålsmail/A 38722-2020 FSC-klagomål mail.docx", "A 38722-2020")</f>
        <v/>
      </c>
      <c r="X8">
        <f>HYPERLINK("https://klasma.github.io/Logging_2584/tillsyn/A 38722-2020 tillsynsbegäran.docx", "A 38722-2020")</f>
        <v/>
      </c>
      <c r="Y8">
        <f>HYPERLINK("https://klasma.github.io/Logging_2584/tillsynsmail/A 38722-2020 tillsynsbegäran mail.docx", "A 38722-2020")</f>
        <v/>
      </c>
    </row>
    <row r="9" ht="15" customHeight="1">
      <c r="A9" t="inlineStr">
        <is>
          <t>A 41920-2019</t>
        </is>
      </c>
      <c r="B9" s="1" t="n">
        <v>43700</v>
      </c>
      <c r="C9" s="1" t="n">
        <v>45570</v>
      </c>
      <c r="D9" t="inlineStr">
        <is>
          <t>NORRBOTTENS LÄN</t>
        </is>
      </c>
      <c r="E9" t="inlineStr">
        <is>
          <t>KIRUNA</t>
        </is>
      </c>
      <c r="G9" t="n">
        <v>200.7</v>
      </c>
      <c r="H9" t="n">
        <v>2</v>
      </c>
      <c r="I9" t="n">
        <v>0</v>
      </c>
      <c r="J9" t="n">
        <v>8</v>
      </c>
      <c r="K9" t="n">
        <v>1</v>
      </c>
      <c r="L9" t="n">
        <v>0</v>
      </c>
      <c r="M9" t="n">
        <v>0</v>
      </c>
      <c r="N9" t="n">
        <v>0</v>
      </c>
      <c r="O9" t="n">
        <v>9</v>
      </c>
      <c r="P9" t="n">
        <v>1</v>
      </c>
      <c r="Q9" t="n">
        <v>9</v>
      </c>
      <c r="R9" s="2" t="inlineStr">
        <is>
          <t>Mörk blåslav
Fjällvråk
Granticka
Harticka
Knottrig blåslav
Rosenticka
Tretåig hackspett
Ullticka
Violmussling</t>
        </is>
      </c>
      <c r="S9">
        <f>HYPERLINK("https://klasma.github.io/Logging_2584/artfynd/A 41920-2019 artfynd.xlsx", "A 41920-2019")</f>
        <v/>
      </c>
      <c r="T9">
        <f>HYPERLINK("https://klasma.github.io/Logging_2584/kartor/A 41920-2019 karta.png", "A 41920-2019")</f>
        <v/>
      </c>
      <c r="V9">
        <f>HYPERLINK("https://klasma.github.io/Logging_2584/klagomål/A 41920-2019 FSC-klagomål.docx", "A 41920-2019")</f>
        <v/>
      </c>
      <c r="W9">
        <f>HYPERLINK("https://klasma.github.io/Logging_2584/klagomålsmail/A 41920-2019 FSC-klagomål mail.docx", "A 41920-2019")</f>
        <v/>
      </c>
      <c r="X9">
        <f>HYPERLINK("https://klasma.github.io/Logging_2584/tillsyn/A 41920-2019 tillsynsbegäran.docx", "A 41920-2019")</f>
        <v/>
      </c>
      <c r="Y9">
        <f>HYPERLINK("https://klasma.github.io/Logging_2584/tillsynsmail/A 41920-2019 tillsynsbegäran mail.docx", "A 41920-2019")</f>
        <v/>
      </c>
      <c r="Z9">
        <f>HYPERLINK("https://klasma.github.io/Logging_2584/fåglar/A 41920-2019 prioriterade fågelarter.docx", "A 41920-2019")</f>
        <v/>
      </c>
    </row>
    <row r="10" ht="15" customHeight="1">
      <c r="A10" t="inlineStr">
        <is>
          <t>A 42495-2024</t>
        </is>
      </c>
      <c r="B10" s="1" t="n">
        <v>45565</v>
      </c>
      <c r="C10" s="1" t="n">
        <v>45570</v>
      </c>
      <c r="D10" t="inlineStr">
        <is>
          <t>NORRBOTTENS LÄN</t>
        </is>
      </c>
      <c r="E10" t="inlineStr">
        <is>
          <t>KIRUNA</t>
        </is>
      </c>
      <c r="G10" t="n">
        <v>14.8</v>
      </c>
      <c r="H10" t="n">
        <v>4</v>
      </c>
      <c r="I10" t="n">
        <v>1</v>
      </c>
      <c r="J10" t="n">
        <v>4</v>
      </c>
      <c r="K10" t="n">
        <v>2</v>
      </c>
      <c r="L10" t="n">
        <v>0</v>
      </c>
      <c r="M10" t="n">
        <v>0</v>
      </c>
      <c r="N10" t="n">
        <v>0</v>
      </c>
      <c r="O10" t="n">
        <v>6</v>
      </c>
      <c r="P10" t="n">
        <v>2</v>
      </c>
      <c r="Q10" t="n">
        <v>8</v>
      </c>
      <c r="R10" s="2" t="inlineStr">
        <is>
          <t>Ostticka
Tallbit
Garnlav
Granticka
Talltita
Tretåig hackspett
Blodticka
Lavskrika</t>
        </is>
      </c>
      <c r="S10">
        <f>HYPERLINK("https://klasma.github.io/Logging_2584/artfynd/A 42495-2024 artfynd.xlsx", "A 42495-2024")</f>
        <v/>
      </c>
      <c r="T10">
        <f>HYPERLINK("https://klasma.github.io/Logging_2584/kartor/A 42495-2024 karta.png", "A 42495-2024")</f>
        <v/>
      </c>
      <c r="V10">
        <f>HYPERLINK("https://klasma.github.io/Logging_2584/klagomål/A 42495-2024 FSC-klagomål.docx", "A 42495-2024")</f>
        <v/>
      </c>
      <c r="W10">
        <f>HYPERLINK("https://klasma.github.io/Logging_2584/klagomålsmail/A 42495-2024 FSC-klagomål mail.docx", "A 42495-2024")</f>
        <v/>
      </c>
      <c r="X10">
        <f>HYPERLINK("https://klasma.github.io/Logging_2584/tillsyn/A 42495-2024 tillsynsbegäran.docx", "A 42495-2024")</f>
        <v/>
      </c>
      <c r="Y10">
        <f>HYPERLINK("https://klasma.github.io/Logging_2584/tillsynsmail/A 42495-2024 tillsynsbegäran mail.docx", "A 42495-2024")</f>
        <v/>
      </c>
      <c r="Z10">
        <f>HYPERLINK("https://klasma.github.io/Logging_2584/fåglar/A 42495-2024 prioriterade fågelarter.docx", "A 42495-2024")</f>
        <v/>
      </c>
    </row>
    <row r="11" ht="15" customHeight="1">
      <c r="A11" t="inlineStr">
        <is>
          <t>A 52664-2019</t>
        </is>
      </c>
      <c r="B11" s="1" t="n">
        <v>43738</v>
      </c>
      <c r="C11" s="1" t="n">
        <v>45570</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45570</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45570</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45570</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45570</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45570</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45570</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45570</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45570</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45570</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45570</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60777-2019</t>
        </is>
      </c>
      <c r="B22" s="1" t="n">
        <v>43777</v>
      </c>
      <c r="C22" s="1" t="n">
        <v>45570</v>
      </c>
      <c r="D22" t="inlineStr">
        <is>
          <t>NORRBOTTENS LÄN</t>
        </is>
      </c>
      <c r="E22" t="inlineStr">
        <is>
          <t>KIRUNA</t>
        </is>
      </c>
      <c r="G22" t="n">
        <v>4.9</v>
      </c>
      <c r="H22" t="n">
        <v>0</v>
      </c>
      <c r="I22" t="n">
        <v>0</v>
      </c>
      <c r="J22" t="n">
        <v>2</v>
      </c>
      <c r="K22" t="n">
        <v>0</v>
      </c>
      <c r="L22" t="n">
        <v>0</v>
      </c>
      <c r="M22" t="n">
        <v>0</v>
      </c>
      <c r="N22" t="n">
        <v>0</v>
      </c>
      <c r="O22" t="n">
        <v>2</v>
      </c>
      <c r="P22" t="n">
        <v>0</v>
      </c>
      <c r="Q22" t="n">
        <v>2</v>
      </c>
      <c r="R22" s="2" t="inlineStr">
        <is>
          <t>Granticka
Ullticka</t>
        </is>
      </c>
      <c r="S22">
        <f>HYPERLINK("https://klasma.github.io/Logging_2584/artfynd/A 60777-2019 artfynd.xlsx", "A 60777-2019")</f>
        <v/>
      </c>
      <c r="T22">
        <f>HYPERLINK("https://klasma.github.io/Logging_2584/kartor/A 60777-2019 karta.png", "A 60777-2019")</f>
        <v/>
      </c>
      <c r="V22">
        <f>HYPERLINK("https://klasma.github.io/Logging_2584/klagomål/A 60777-2019 FSC-klagomål.docx", "A 60777-2019")</f>
        <v/>
      </c>
      <c r="W22">
        <f>HYPERLINK("https://klasma.github.io/Logging_2584/klagomålsmail/A 60777-2019 FSC-klagomål mail.docx", "A 60777-2019")</f>
        <v/>
      </c>
      <c r="X22">
        <f>HYPERLINK("https://klasma.github.io/Logging_2584/tillsyn/A 60777-2019 tillsynsbegäran.docx", "A 60777-2019")</f>
        <v/>
      </c>
      <c r="Y22">
        <f>HYPERLINK("https://klasma.github.io/Logging_2584/tillsynsmail/A 60777-2019 tillsynsbegäran mail.docx", "A 60777-2019")</f>
        <v/>
      </c>
    </row>
    <row r="23" ht="15" customHeight="1">
      <c r="A23" t="inlineStr">
        <is>
          <t>A 6890-2021</t>
        </is>
      </c>
      <c r="B23" s="1" t="n">
        <v>44237</v>
      </c>
      <c r="C23" s="1" t="n">
        <v>45570</v>
      </c>
      <c r="D23" t="inlineStr">
        <is>
          <t>NORRBOTTENS LÄN</t>
        </is>
      </c>
      <c r="E23" t="inlineStr">
        <is>
          <t>KIRUNA</t>
        </is>
      </c>
      <c r="G23" t="n">
        <v>3.9</v>
      </c>
      <c r="H23" t="n">
        <v>0</v>
      </c>
      <c r="I23" t="n">
        <v>1</v>
      </c>
      <c r="J23" t="n">
        <v>1</v>
      </c>
      <c r="K23" t="n">
        <v>0</v>
      </c>
      <c r="L23" t="n">
        <v>0</v>
      </c>
      <c r="M23" t="n">
        <v>0</v>
      </c>
      <c r="N23" t="n">
        <v>0</v>
      </c>
      <c r="O23" t="n">
        <v>1</v>
      </c>
      <c r="P23" t="n">
        <v>0</v>
      </c>
      <c r="Q23" t="n">
        <v>2</v>
      </c>
      <c r="R23" s="2" t="inlineStr">
        <is>
          <t>Vitplätt
Blodticka</t>
        </is>
      </c>
      <c r="S23">
        <f>HYPERLINK("https://klasma.github.io/Logging_2584/artfynd/A 6890-2021 artfynd.xlsx", "A 6890-2021")</f>
        <v/>
      </c>
      <c r="T23">
        <f>HYPERLINK("https://klasma.github.io/Logging_2584/kartor/A 6890-2021 karta.png", "A 6890-2021")</f>
        <v/>
      </c>
      <c r="V23">
        <f>HYPERLINK("https://klasma.github.io/Logging_2584/klagomål/A 6890-2021 FSC-klagomål.docx", "A 6890-2021")</f>
        <v/>
      </c>
      <c r="W23">
        <f>HYPERLINK("https://klasma.github.io/Logging_2584/klagomålsmail/A 6890-2021 FSC-klagomål mail.docx", "A 6890-2021")</f>
        <v/>
      </c>
      <c r="X23">
        <f>HYPERLINK("https://klasma.github.io/Logging_2584/tillsyn/A 6890-2021 tillsynsbegäran.docx", "A 6890-2021")</f>
        <v/>
      </c>
      <c r="Y23">
        <f>HYPERLINK("https://klasma.github.io/Logging_2584/tillsynsmail/A 6890-2021 tillsynsbegäran mail.docx", "A 6890-2021")</f>
        <v/>
      </c>
    </row>
    <row r="24" ht="15" customHeight="1">
      <c r="A24" t="inlineStr">
        <is>
          <t>A 62435-2022</t>
        </is>
      </c>
      <c r="B24" s="1" t="n">
        <v>44916</v>
      </c>
      <c r="C24" s="1" t="n">
        <v>45570</v>
      </c>
      <c r="D24" t="inlineStr">
        <is>
          <t>NORRBOTTENS LÄN</t>
        </is>
      </c>
      <c r="E24" t="inlineStr">
        <is>
          <t>KIRUNA</t>
        </is>
      </c>
      <c r="G24" t="n">
        <v>13.3</v>
      </c>
      <c r="H24" t="n">
        <v>0</v>
      </c>
      <c r="I24" t="n">
        <v>0</v>
      </c>
      <c r="J24" t="n">
        <v>2</v>
      </c>
      <c r="K24" t="n">
        <v>0</v>
      </c>
      <c r="L24" t="n">
        <v>0</v>
      </c>
      <c r="M24" t="n">
        <v>0</v>
      </c>
      <c r="N24" t="n">
        <v>0</v>
      </c>
      <c r="O24" t="n">
        <v>2</v>
      </c>
      <c r="P24" t="n">
        <v>0</v>
      </c>
      <c r="Q24" t="n">
        <v>2</v>
      </c>
      <c r="R24" s="2" t="inlineStr">
        <is>
          <t>Harticka
Rosenticka</t>
        </is>
      </c>
      <c r="S24">
        <f>HYPERLINK("https://klasma.github.io/Logging_2584/artfynd/A 62435-2022 artfynd.xlsx", "A 62435-2022")</f>
        <v/>
      </c>
      <c r="T24">
        <f>HYPERLINK("https://klasma.github.io/Logging_2584/kartor/A 62435-2022 karta.png", "A 62435-2022")</f>
        <v/>
      </c>
      <c r="V24">
        <f>HYPERLINK("https://klasma.github.io/Logging_2584/klagomål/A 62435-2022 FSC-klagomål.docx", "A 62435-2022")</f>
        <v/>
      </c>
      <c r="W24">
        <f>HYPERLINK("https://klasma.github.io/Logging_2584/klagomålsmail/A 62435-2022 FSC-klagomål mail.docx", "A 62435-2022")</f>
        <v/>
      </c>
      <c r="X24">
        <f>HYPERLINK("https://klasma.github.io/Logging_2584/tillsyn/A 62435-2022 tillsynsbegäran.docx", "A 62435-2022")</f>
        <v/>
      </c>
      <c r="Y24">
        <f>HYPERLINK("https://klasma.github.io/Logging_2584/tillsynsmail/A 62435-2022 tillsynsbegäran mail.docx", "A 62435-2022")</f>
        <v/>
      </c>
    </row>
    <row r="25" ht="15" customHeight="1">
      <c r="A25" t="inlineStr">
        <is>
          <t>A 64829-2023</t>
        </is>
      </c>
      <c r="B25" s="1" t="n">
        <v>45281</v>
      </c>
      <c r="C25" s="1" t="n">
        <v>45570</v>
      </c>
      <c r="D25" t="inlineStr">
        <is>
          <t>NORRBOTTENS LÄN</t>
        </is>
      </c>
      <c r="E25" t="inlineStr">
        <is>
          <t>KIRUNA</t>
        </is>
      </c>
      <c r="G25" t="n">
        <v>31.7</v>
      </c>
      <c r="H25" t="n">
        <v>1</v>
      </c>
      <c r="I25" t="n">
        <v>0</v>
      </c>
      <c r="J25" t="n">
        <v>1</v>
      </c>
      <c r="K25" t="n">
        <v>0</v>
      </c>
      <c r="L25" t="n">
        <v>0</v>
      </c>
      <c r="M25" t="n">
        <v>0</v>
      </c>
      <c r="N25" t="n">
        <v>0</v>
      </c>
      <c r="O25" t="n">
        <v>1</v>
      </c>
      <c r="P25" t="n">
        <v>0</v>
      </c>
      <c r="Q25" t="n">
        <v>2</v>
      </c>
      <c r="R25" s="2" t="inlineStr">
        <is>
          <t>Månlåsbräken
Mattlummer</t>
        </is>
      </c>
      <c r="S25">
        <f>HYPERLINK("https://klasma.github.io/Logging_2584/artfynd/A 64829-2023 artfynd.xlsx", "A 64829-2023")</f>
        <v/>
      </c>
      <c r="T25">
        <f>HYPERLINK("https://klasma.github.io/Logging_2584/kartor/A 64829-2023 karta.png", "A 64829-2023")</f>
        <v/>
      </c>
      <c r="V25">
        <f>HYPERLINK("https://klasma.github.io/Logging_2584/klagomål/A 64829-2023 FSC-klagomål.docx", "A 64829-2023")</f>
        <v/>
      </c>
      <c r="W25">
        <f>HYPERLINK("https://klasma.github.io/Logging_2584/klagomålsmail/A 64829-2023 FSC-klagomål mail.docx", "A 64829-2023")</f>
        <v/>
      </c>
      <c r="X25">
        <f>HYPERLINK("https://klasma.github.io/Logging_2584/tillsyn/A 64829-2023 tillsynsbegäran.docx", "A 64829-2023")</f>
        <v/>
      </c>
      <c r="Y25">
        <f>HYPERLINK("https://klasma.github.io/Logging_2584/tillsynsmail/A 64829-2023 tillsynsbegäran mail.docx", "A 64829-2023")</f>
        <v/>
      </c>
    </row>
    <row r="26" ht="15" customHeight="1">
      <c r="A26" t="inlineStr">
        <is>
          <t>A 4367-2024</t>
        </is>
      </c>
      <c r="B26" s="1" t="n">
        <v>45326</v>
      </c>
      <c r="C26" s="1" t="n">
        <v>45570</v>
      </c>
      <c r="D26" t="inlineStr">
        <is>
          <t>NORRBOTTENS LÄN</t>
        </is>
      </c>
      <c r="E26" t="inlineStr">
        <is>
          <t>KIRUNA</t>
        </is>
      </c>
      <c r="G26" t="n">
        <v>7.5</v>
      </c>
      <c r="H26" t="n">
        <v>0</v>
      </c>
      <c r="I26" t="n">
        <v>0</v>
      </c>
      <c r="J26" t="n">
        <v>2</v>
      </c>
      <c r="K26" t="n">
        <v>0</v>
      </c>
      <c r="L26" t="n">
        <v>0</v>
      </c>
      <c r="M26" t="n">
        <v>0</v>
      </c>
      <c r="N26" t="n">
        <v>0</v>
      </c>
      <c r="O26" t="n">
        <v>2</v>
      </c>
      <c r="P26" t="n">
        <v>0</v>
      </c>
      <c r="Q26" t="n">
        <v>2</v>
      </c>
      <c r="R26" s="2" t="inlineStr">
        <is>
          <t>Granticka
Tallticka</t>
        </is>
      </c>
      <c r="S26">
        <f>HYPERLINK("https://klasma.github.io/Logging_2584/artfynd/A 4367-2024 artfynd.xlsx", "A 4367-2024")</f>
        <v/>
      </c>
      <c r="T26">
        <f>HYPERLINK("https://klasma.github.io/Logging_2584/kartor/A 4367-2024 karta.png", "A 4367-2024")</f>
        <v/>
      </c>
      <c r="V26">
        <f>HYPERLINK("https://klasma.github.io/Logging_2584/klagomål/A 4367-2024 FSC-klagomål.docx", "A 4367-2024")</f>
        <v/>
      </c>
      <c r="W26">
        <f>HYPERLINK("https://klasma.github.io/Logging_2584/klagomålsmail/A 4367-2024 FSC-klagomål mail.docx", "A 4367-2024")</f>
        <v/>
      </c>
      <c r="X26">
        <f>HYPERLINK("https://klasma.github.io/Logging_2584/tillsyn/A 4367-2024 tillsynsbegäran.docx", "A 4367-2024")</f>
        <v/>
      </c>
      <c r="Y26">
        <f>HYPERLINK("https://klasma.github.io/Logging_2584/tillsynsmail/A 4367-2024 tillsynsbegäran mail.docx", "A 4367-2024")</f>
        <v/>
      </c>
    </row>
    <row r="27" ht="15" customHeight="1">
      <c r="A27" t="inlineStr">
        <is>
          <t>A 22812-2019</t>
        </is>
      </c>
      <c r="B27" s="1" t="n">
        <v>43590</v>
      </c>
      <c r="C27" s="1" t="n">
        <v>45570</v>
      </c>
      <c r="D27" t="inlineStr">
        <is>
          <t>NORRBOTTENS LÄN</t>
        </is>
      </c>
      <c r="E27" t="inlineStr">
        <is>
          <t>KIRUNA</t>
        </is>
      </c>
      <c r="G27" t="n">
        <v>22.6</v>
      </c>
      <c r="H27" t="n">
        <v>0</v>
      </c>
      <c r="I27" t="n">
        <v>0</v>
      </c>
      <c r="J27" t="n">
        <v>1</v>
      </c>
      <c r="K27" t="n">
        <v>0</v>
      </c>
      <c r="L27" t="n">
        <v>0</v>
      </c>
      <c r="M27" t="n">
        <v>0</v>
      </c>
      <c r="N27" t="n">
        <v>0</v>
      </c>
      <c r="O27" t="n">
        <v>1</v>
      </c>
      <c r="P27" t="n">
        <v>0</v>
      </c>
      <c r="Q27" t="n">
        <v>1</v>
      </c>
      <c r="R27" s="2" t="inlineStr">
        <is>
          <t>Garnlav</t>
        </is>
      </c>
      <c r="S27">
        <f>HYPERLINK("https://klasma.github.io/Logging_2584/artfynd/A 22812-2019 artfynd.xlsx", "A 22812-2019")</f>
        <v/>
      </c>
      <c r="T27">
        <f>HYPERLINK("https://klasma.github.io/Logging_2584/kartor/A 22812-2019 karta.png", "A 22812-2019")</f>
        <v/>
      </c>
      <c r="V27">
        <f>HYPERLINK("https://klasma.github.io/Logging_2584/klagomål/A 22812-2019 FSC-klagomål.docx", "A 22812-2019")</f>
        <v/>
      </c>
      <c r="W27">
        <f>HYPERLINK("https://klasma.github.io/Logging_2584/klagomålsmail/A 22812-2019 FSC-klagomål mail.docx", "A 22812-2019")</f>
        <v/>
      </c>
      <c r="X27">
        <f>HYPERLINK("https://klasma.github.io/Logging_2584/tillsyn/A 22812-2019 tillsynsbegäran.docx", "A 22812-2019")</f>
        <v/>
      </c>
      <c r="Y27">
        <f>HYPERLINK("https://klasma.github.io/Logging_2584/tillsynsmail/A 22812-2019 tillsynsbegäran mail.docx", "A 22812-2019")</f>
        <v/>
      </c>
    </row>
    <row r="28" ht="15" customHeight="1">
      <c r="A28" t="inlineStr">
        <is>
          <t>A 61313-2019</t>
        </is>
      </c>
      <c r="B28" s="1" t="n">
        <v>43775</v>
      </c>
      <c r="C28" s="1" t="n">
        <v>45570</v>
      </c>
      <c r="D28" t="inlineStr">
        <is>
          <t>NORRBOTTENS LÄN</t>
        </is>
      </c>
      <c r="E28" t="inlineStr">
        <is>
          <t>KIRUNA</t>
        </is>
      </c>
      <c r="F28" t="inlineStr">
        <is>
          <t>Övriga statliga verk och myndigheter</t>
        </is>
      </c>
      <c r="G28" t="n">
        <v>28.7</v>
      </c>
      <c r="H28" t="n">
        <v>1</v>
      </c>
      <c r="I28" t="n">
        <v>0</v>
      </c>
      <c r="J28" t="n">
        <v>0</v>
      </c>
      <c r="K28" t="n">
        <v>1</v>
      </c>
      <c r="L28" t="n">
        <v>0</v>
      </c>
      <c r="M28" t="n">
        <v>0</v>
      </c>
      <c r="N28" t="n">
        <v>0</v>
      </c>
      <c r="O28" t="n">
        <v>1</v>
      </c>
      <c r="P28" t="n">
        <v>1</v>
      </c>
      <c r="Q28" t="n">
        <v>1</v>
      </c>
      <c r="R28" s="2" t="inlineStr">
        <is>
          <t>Norna</t>
        </is>
      </c>
      <c r="S28">
        <f>HYPERLINK("https://klasma.github.io/Logging_2584/artfynd/A 61313-2019 artfynd.xlsx", "A 61313-2019")</f>
        <v/>
      </c>
      <c r="T28">
        <f>HYPERLINK("https://klasma.github.io/Logging_2584/kartor/A 61313-2019 karta.png", "A 61313-2019")</f>
        <v/>
      </c>
      <c r="V28">
        <f>HYPERLINK("https://klasma.github.io/Logging_2584/klagomål/A 61313-2019 FSC-klagomål.docx", "A 61313-2019")</f>
        <v/>
      </c>
      <c r="W28">
        <f>HYPERLINK("https://klasma.github.io/Logging_2584/klagomålsmail/A 61313-2019 FSC-klagomål mail.docx", "A 61313-2019")</f>
        <v/>
      </c>
      <c r="X28">
        <f>HYPERLINK("https://klasma.github.io/Logging_2584/tillsyn/A 61313-2019 tillsynsbegäran.docx", "A 61313-2019")</f>
        <v/>
      </c>
      <c r="Y28">
        <f>HYPERLINK("https://klasma.github.io/Logging_2584/tillsynsmail/A 61313-2019 tillsynsbegäran mail.docx", "A 61313-2019")</f>
        <v/>
      </c>
    </row>
    <row r="29" ht="15" customHeight="1">
      <c r="A29" t="inlineStr">
        <is>
          <t>A 6878-2021</t>
        </is>
      </c>
      <c r="B29" s="1" t="n">
        <v>44237</v>
      </c>
      <c r="C29" s="1" t="n">
        <v>45570</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45570</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45570</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45570</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45570</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45570</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45570</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45570</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45570</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45570</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45570</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45570</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45570</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45570</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45570</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45570</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45570</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45570</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45570</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45570</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45570</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45570</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45570</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45570</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45570</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45570</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45570</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45570</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45570</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45570</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45570</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45570</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45570</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45570</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45570</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45570</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45570</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45570</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45570</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45570</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45570</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45570</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45570</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45570</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45570</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45570</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45570</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45570</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45570</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45570</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45570</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45570</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45570</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45570</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45570</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45570</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45570</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45570</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45570</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45570</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45570</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45570</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45570</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45570</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45570</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45570</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45570</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45570</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45570</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45570</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45570</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45570</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45570</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45570</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45570</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45570</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45570</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45570</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45570</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45570</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45570</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45570</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45570</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45570</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45570</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45570</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45570</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c r="A116" t="inlineStr">
        <is>
          <t>A 38577-2024</t>
        </is>
      </c>
      <c r="B116" s="1" t="n">
        <v>45546</v>
      </c>
      <c r="C116" s="1" t="n">
        <v>45570</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2024-10-05T12:58:31Z</dcterms:created>
  <dcterms:modified xmlns:dcterms="http://purl.org/dc/terms/" xmlns:xsi="http://www.w3.org/2001/XMLSchema-instance" xsi:type="dcterms:W3CDTF">2024-10-05T12:58:31Z</dcterms:modified>
</cp:coreProperties>
</file>