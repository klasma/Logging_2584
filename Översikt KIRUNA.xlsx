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46299</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46299</v>
      </c>
      <c r="F3" t="inlineStr">
        <is>
          <t>NORRBOTTENS LÄN</t>
        </is>
      </c>
      <c r="G3" t="inlineStr">
        <is>
          <t>KIRUNA</t>
        </is>
      </c>
      <c r="I3" t="n">
        <v>25.3</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46299</v>
      </c>
      <c r="F4" t="inlineStr">
        <is>
          <t>NORRBOTTENS LÄN</t>
        </is>
      </c>
      <c r="G4" t="inlineStr">
        <is>
          <t>KIRUNA</t>
        </is>
      </c>
      <c r="I4" t="n">
        <v>19.7</v>
      </c>
      <c r="J4" t="n">
        <v>4</v>
      </c>
      <c r="K4" t="n">
        <v>4</v>
      </c>
      <c r="L4" t="n">
        <v>16</v>
      </c>
      <c r="M4" t="n">
        <v>1</v>
      </c>
      <c r="N4" t="n">
        <v>0</v>
      </c>
      <c r="O4" t="n">
        <v>0</v>
      </c>
      <c r="P4" t="n">
        <v>0</v>
      </c>
      <c r="Q4" t="n">
        <v>17</v>
      </c>
      <c r="R4" t="n">
        <v>1</v>
      </c>
      <c r="S4" t="n">
        <v>22</v>
      </c>
      <c r="T4" t="n">
        <v>36</v>
      </c>
      <c r="U4" t="n">
        <v>36</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18726-2024</t>
        </is>
      </c>
      <c r="B5" t="inlineStr">
        <is>
          <t>avverkningsanmälan</t>
        </is>
      </c>
      <c r="C5" t="inlineStr">
        <is>
          <t>Föryngringsavverkning</t>
        </is>
      </c>
      <c r="D5" s="1" t="n">
        <v>45426</v>
      </c>
      <c r="E5" s="1" t="n">
        <v>46299</v>
      </c>
      <c r="F5" t="inlineStr">
        <is>
          <t>NORRBOTTENS LÄN</t>
        </is>
      </c>
      <c r="G5" t="inlineStr">
        <is>
          <t>KIRUNA</t>
        </is>
      </c>
      <c r="H5" t="inlineStr">
        <is>
          <t>Allmännings- och besparingsskogar</t>
        </is>
      </c>
      <c r="I5" t="n">
        <v>4.9</v>
      </c>
      <c r="J5" t="n">
        <v>1</v>
      </c>
      <c r="K5" t="n">
        <v>0</v>
      </c>
      <c r="L5" t="n">
        <v>11</v>
      </c>
      <c r="M5" t="n">
        <v>7</v>
      </c>
      <c r="N5" t="n">
        <v>0</v>
      </c>
      <c r="O5" t="n">
        <v>0</v>
      </c>
      <c r="P5" t="n">
        <v>0</v>
      </c>
      <c r="Q5" t="n">
        <v>18</v>
      </c>
      <c r="R5" t="n">
        <v>7</v>
      </c>
      <c r="S5" t="n">
        <v>18</v>
      </c>
      <c r="T5" t="n">
        <v>88</v>
      </c>
      <c r="U5" t="n">
        <v>17</v>
      </c>
      <c r="V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5">
        <f>HYPERLINK("https://klasma.github.io/Logging_2584/artfynd/A 18726-2024 artfynd.xlsx", "A 18726-2024")</f>
        <v/>
      </c>
      <c r="X5">
        <f>HYPERLINK("https://klasma.github.io/Logging_2584/kartor/A 18726-2024 karta.png", "A 18726-2024")</f>
        <v/>
      </c>
      <c r="Y5">
        <f>HYPERLINK("https://klasma.github.io/Logging_2584/kartor_geotiff/A 18726-2024 georefererad karta.tif", "A 18726-2024")</f>
        <v/>
      </c>
      <c r="AA5">
        <f>HYPERLINK("https://klasma.github.io/Logging_2584/klagomål/A 18726-2024 FSC-klagomål.docx", "A 18726-2024")</f>
        <v/>
      </c>
      <c r="AB5">
        <f>HYPERLINK("https://klasma.github.io/Logging_2584/klagomålsmail/A 18726-2024 FSC-klagomål mail.docx", "A 18726-2024")</f>
        <v/>
      </c>
      <c r="AC5">
        <f>HYPERLINK("https://klasma.github.io/Logging_2584/tillsyn/A 18726-2024 tillsynsbegäran.docx", "A 18726-2024")</f>
        <v/>
      </c>
      <c r="AD5">
        <f>HYPERLINK("https://klasma.github.io/Logging_2584/tillsynsmail/A 18726-2024 tillsynsbegäran mail.docx", "A 18726-2024")</f>
        <v/>
      </c>
      <c r="AE5">
        <f>HYPERLINK("https://klasma.github.io/Logging_2584/fåglar/A 18726-2024 prioriterade fågelarter.docx", "A 18726-2024")</f>
        <v/>
      </c>
    </row>
    <row r="6" ht="15" customHeight="1">
      <c r="A6" t="inlineStr">
        <is>
          <t>S 698-2025</t>
        </is>
      </c>
      <c r="B6" t="inlineStr">
        <is>
          <t>samrådsanmälan</t>
        </is>
      </c>
      <c r="C6" t="inlineStr">
        <is>
          <t>Traktorväg</t>
        </is>
      </c>
      <c r="D6" s="1" t="n">
        <v>45720</v>
      </c>
      <c r="E6" s="1" t="n">
        <v>46299</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46299</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29048-2026</t>
        </is>
      </c>
      <c r="B8" t="inlineStr">
        <is>
          <t>avverkningsanmälan</t>
        </is>
      </c>
      <c r="C8" t="inlineStr">
        <is>
          <t>Föryngringsavverkning</t>
        </is>
      </c>
      <c r="D8" s="1" t="n">
        <v>46199</v>
      </c>
      <c r="E8" s="1" t="n">
        <v>46299</v>
      </c>
      <c r="F8" t="inlineStr">
        <is>
          <t>NORRBOTTENS LÄN</t>
        </is>
      </c>
      <c r="G8" t="inlineStr">
        <is>
          <t>KIRUNA</t>
        </is>
      </c>
      <c r="I8" t="n">
        <v>16.9</v>
      </c>
      <c r="J8" t="n">
        <v>2</v>
      </c>
      <c r="K8" t="n">
        <v>0</v>
      </c>
      <c r="L8" t="n">
        <v>9</v>
      </c>
      <c r="M8" t="n">
        <v>0</v>
      </c>
      <c r="N8" t="n">
        <v>0</v>
      </c>
      <c r="O8" t="n">
        <v>0</v>
      </c>
      <c r="P8" t="n">
        <v>0</v>
      </c>
      <c r="Q8" t="n">
        <v>10</v>
      </c>
      <c r="R8" t="n">
        <v>0</v>
      </c>
      <c r="S8" t="n">
        <v>10</v>
      </c>
      <c r="T8" t="n">
        <v>10</v>
      </c>
      <c r="U8" t="n">
        <v>10</v>
      </c>
      <c r="V8" s="2" t="inlineStr">
        <is>
          <t>Gammelgransskål
Knottrig blåslav
Lappmes
Lavskrika
Reliktbock
Sotvaxskivling
Talltagel
Vedskivlav
Vitgrynig nållav
Nordtätskinn</t>
        </is>
      </c>
      <c r="W8">
        <f>HYPERLINK("https://klasma.github.io/Logging_2584/artfynd/A 29048-2026 artfynd.xlsx", "A 29048-2026")</f>
        <v/>
      </c>
      <c r="X8">
        <f>HYPERLINK("https://klasma.github.io/Logging_2584/kartor/A 29048-2026 karta.png", "A 29048-2026")</f>
        <v/>
      </c>
      <c r="Y8">
        <f>HYPERLINK("https://klasma.github.io/Logging_2584/kartor_geotiff/A 29048-2026 georefererad karta.tif", "A 29048-2026")</f>
        <v/>
      </c>
      <c r="AA8">
        <f>HYPERLINK("https://klasma.github.io/Logging_2584/klagomål/A 29048-2026 FSC-klagomål.docx", "A 29048-2026")</f>
        <v/>
      </c>
      <c r="AB8">
        <f>HYPERLINK("https://klasma.github.io/Logging_2584/klagomålsmail/A 29048-2026 FSC-klagomål mail.docx", "A 29048-2026")</f>
        <v/>
      </c>
      <c r="AC8">
        <f>HYPERLINK("https://klasma.github.io/Logging_2584/tillsyn/A 29048-2026 tillsynsbegäran.docx", "A 29048-2026")</f>
        <v/>
      </c>
      <c r="AD8">
        <f>HYPERLINK("https://klasma.github.io/Logging_2584/tillsynsmail/A 29048-2026 tillsynsbegäran mail.docx", "A 29048-2026")</f>
        <v/>
      </c>
      <c r="AE8">
        <f>HYPERLINK("https://klasma.github.io/Logging_2584/fåglar/A 29048-2026 prioriterade fågelarter.docx", "A 29048-2026")</f>
        <v/>
      </c>
    </row>
    <row r="9" ht="15" customHeight="1">
      <c r="A9" t="inlineStr">
        <is>
          <t>A 30524-2026</t>
        </is>
      </c>
      <c r="B9" t="inlineStr">
        <is>
          <t>avverkningsanmälan</t>
        </is>
      </c>
      <c r="C9" t="inlineStr">
        <is>
          <t>Föryngringsavverkning</t>
        </is>
      </c>
      <c r="D9" s="1" t="n">
        <v>46210</v>
      </c>
      <c r="E9" s="1" t="n">
        <v>46299</v>
      </c>
      <c r="F9" t="inlineStr">
        <is>
          <t>NORRBOTTENS LÄN</t>
        </is>
      </c>
      <c r="G9" t="inlineStr">
        <is>
          <t>KIRUNA</t>
        </is>
      </c>
      <c r="I9" t="n">
        <v>21.7</v>
      </c>
      <c r="J9" t="n">
        <v>1</v>
      </c>
      <c r="K9" t="n">
        <v>0</v>
      </c>
      <c r="L9" t="n">
        <v>8</v>
      </c>
      <c r="M9" t="n">
        <v>1</v>
      </c>
      <c r="N9" t="n">
        <v>0</v>
      </c>
      <c r="O9" t="n">
        <v>0</v>
      </c>
      <c r="P9" t="n">
        <v>0</v>
      </c>
      <c r="Q9" t="n">
        <v>9</v>
      </c>
      <c r="R9" t="n">
        <v>1</v>
      </c>
      <c r="S9" t="n">
        <v>10</v>
      </c>
      <c r="T9" t="n">
        <v>22</v>
      </c>
      <c r="U9" t="n">
        <v>22</v>
      </c>
      <c r="V9" s="2" t="inlineStr">
        <is>
          <t>Mörk blåslav
Blanksvart spiklav
Blågrå svartspik
Gammelgransskål
Knottrig blåslav
Kolflarnlav
Ladlav
Vedskivlav
Äggvaxskivling
Vanlig groda</t>
        </is>
      </c>
      <c r="W9">
        <f>HYPERLINK("https://klasma.github.io/Logging_2584/artfynd/A 30524-2026 artfynd.xlsx", "A 30524-2026")</f>
        <v/>
      </c>
      <c r="X9">
        <f>HYPERLINK("https://klasma.github.io/Logging_2584/kartor/A 30524-2026 karta.png", "A 30524-2026")</f>
        <v/>
      </c>
      <c r="Y9">
        <f>HYPERLINK("https://klasma.github.io/Logging_2584/kartor_geotiff/A 30524-2026 georefererad karta.tif", "A 30524-2026")</f>
        <v/>
      </c>
      <c r="AA9">
        <f>HYPERLINK("https://klasma.github.io/Logging_2584/klagomål/A 30524-2026 FSC-klagomål.docx", "A 30524-2026")</f>
        <v/>
      </c>
      <c r="AB9">
        <f>HYPERLINK("https://klasma.github.io/Logging_2584/klagomålsmail/A 30524-2026 FSC-klagomål mail.docx", "A 30524-2026")</f>
        <v/>
      </c>
      <c r="AC9">
        <f>HYPERLINK("https://klasma.github.io/Logging_2584/tillsyn/A 30524-2026 tillsynsbegäran.docx", "A 30524-2026")</f>
        <v/>
      </c>
      <c r="AD9">
        <f>HYPERLINK("https://klasma.github.io/Logging_2584/tillsynsmail/A 30524-2026 tillsynsbegäran mail.docx", "A 30524-2026")</f>
        <v/>
      </c>
    </row>
    <row r="10" ht="15" customHeight="1">
      <c r="A10" t="inlineStr">
        <is>
          <t>A 61178-2025</t>
        </is>
      </c>
      <c r="B10" t="inlineStr">
        <is>
          <t>avverkningsanmälan</t>
        </is>
      </c>
      <c r="C10" t="inlineStr">
        <is>
          <t>Föryngringsavverkning</t>
        </is>
      </c>
      <c r="D10" s="1" t="n">
        <v>46000</v>
      </c>
      <c r="E10" s="1" t="n">
        <v>46299</v>
      </c>
      <c r="F10" t="inlineStr">
        <is>
          <t>NORRBOTTENS LÄN</t>
        </is>
      </c>
      <c r="G10" t="inlineStr">
        <is>
          <t>KIRUNA</t>
        </is>
      </c>
      <c r="I10" t="n">
        <v>31.3</v>
      </c>
      <c r="J10" t="n">
        <v>1</v>
      </c>
      <c r="K10" t="n">
        <v>1</v>
      </c>
      <c r="L10" t="n">
        <v>7</v>
      </c>
      <c r="M10" t="n">
        <v>1</v>
      </c>
      <c r="N10" t="n">
        <v>0</v>
      </c>
      <c r="O10" t="n">
        <v>0</v>
      </c>
      <c r="P10" t="n">
        <v>0</v>
      </c>
      <c r="Q10" t="n">
        <v>8</v>
      </c>
      <c r="R10" t="n">
        <v>1</v>
      </c>
      <c r="S10" t="n">
        <v>9</v>
      </c>
      <c r="T10" t="n">
        <v>10</v>
      </c>
      <c r="U10" t="n">
        <v>0</v>
      </c>
      <c r="V10" s="2" t="inlineStr">
        <is>
          <t>Skrovlig taggsvamp
Blanksvart spiklav
Blå taggsvamp
Dvärgbägarlav
Gammelgransskål
Orange taggsvamp
Vedskivlav
Vitplätt
Plattlummer</t>
        </is>
      </c>
      <c r="W10">
        <f>HYPERLINK("https://klasma.github.io/Logging_2584/artfynd/A 61178-2025 artfynd.xlsx", "A 61178-2025")</f>
        <v/>
      </c>
      <c r="X10">
        <f>HYPERLINK("https://klasma.github.io/Logging_2584/kartor/A 61178-2025 karta.png", "A 61178-2025")</f>
        <v/>
      </c>
      <c r="Y10">
        <f>HYPERLINK("https://klasma.github.io/Logging_2584/kartor_geotiff/A 61178-2025 georefererad karta.tif", "A 61178-2025")</f>
        <v/>
      </c>
      <c r="AA10">
        <f>HYPERLINK("https://klasma.github.io/Logging_2584/klagomål/A 61178-2025 FSC-klagomål.docx", "A 61178-2025")</f>
        <v/>
      </c>
      <c r="AB10">
        <f>HYPERLINK("https://klasma.github.io/Logging_2584/klagomålsmail/A 61178-2025 FSC-klagomål mail.docx", "A 61178-2025")</f>
        <v/>
      </c>
      <c r="AC10">
        <f>HYPERLINK("https://klasma.github.io/Logging_2584/tillsyn/A 61178-2025 tillsynsbegäran.docx", "A 61178-2025")</f>
        <v/>
      </c>
      <c r="AD10">
        <f>HYPERLINK("https://klasma.github.io/Logging_2584/tillsynsmail/A 61178-2025 tillsynsbegäran mail.docx", "A 61178-2025")</f>
        <v/>
      </c>
    </row>
    <row r="11" ht="15" customHeight="1">
      <c r="A11" t="inlineStr">
        <is>
          <t>A 29231-2026</t>
        </is>
      </c>
      <c r="B11" t="inlineStr">
        <is>
          <t>avverkningsanmälan</t>
        </is>
      </c>
      <c r="C11" t="inlineStr">
        <is>
          <t>Föryngringsavverkning</t>
        </is>
      </c>
      <c r="D11" s="1" t="n">
        <v>46202</v>
      </c>
      <c r="E11" s="1" t="n">
        <v>46299</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46299</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46299</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46299</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46299</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46299</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46299</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46299</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46299</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46299</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46299</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46299</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53264-2023</t>
        </is>
      </c>
      <c r="B23" t="inlineStr">
        <is>
          <t>avverkningsanmälan</t>
        </is>
      </c>
      <c r="C23" t="inlineStr">
        <is>
          <t>Föryngringsavverkning</t>
        </is>
      </c>
      <c r="D23" s="1" t="n">
        <v>45222</v>
      </c>
      <c r="E23" s="1" t="n">
        <v>46299</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17740-2023</t>
        </is>
      </c>
      <c r="B24" t="inlineStr">
        <is>
          <t>avverkningsanmälan</t>
        </is>
      </c>
      <c r="C24" t="inlineStr">
        <is>
          <t>Föryngringsavverkning</t>
        </is>
      </c>
      <c r="D24" s="1" t="n">
        <v>45035</v>
      </c>
      <c r="E24" s="1" t="n">
        <v>46299</v>
      </c>
      <c r="F24" t="inlineStr">
        <is>
          <t>NORRBOTTENS LÄN</t>
        </is>
      </c>
      <c r="G24" t="inlineStr">
        <is>
          <t>KIRUNA</t>
        </is>
      </c>
      <c r="H24" t="inlineStr">
        <is>
          <t>Allmännings- och besparingsskogar</t>
        </is>
      </c>
      <c r="I24" t="n">
        <v>20.1</v>
      </c>
      <c r="J24" t="n">
        <v>1</v>
      </c>
      <c r="K24" t="n">
        <v>0</v>
      </c>
      <c r="L24" t="n">
        <v>1</v>
      </c>
      <c r="M24" t="n">
        <v>0</v>
      </c>
      <c r="N24" t="n">
        <v>0</v>
      </c>
      <c r="O24" t="n">
        <v>0</v>
      </c>
      <c r="P24" t="n">
        <v>0</v>
      </c>
      <c r="Q24" t="n">
        <v>1</v>
      </c>
      <c r="R24" t="n">
        <v>0</v>
      </c>
      <c r="S24" t="n">
        <v>2</v>
      </c>
      <c r="T24" t="n">
        <v>2</v>
      </c>
      <c r="U24" t="n">
        <v>1</v>
      </c>
      <c r="V24" s="2" t="inlineStr">
        <is>
          <t>Knottrig blåslav
Svartvit flugsnappare</t>
        </is>
      </c>
      <c r="W24">
        <f>HYPERLINK("https://klasma.github.io/Logging_2584/artfynd/A 17740-2023 artfynd.xlsx", "A 17740-2023")</f>
        <v/>
      </c>
      <c r="X24">
        <f>HYPERLINK("https://klasma.github.io/Logging_2584/kartor/A 17740-2023 karta.png", "A 17740-2023")</f>
        <v/>
      </c>
      <c r="Y24">
        <f>HYPERLINK("https://klasma.github.io/Logging_2584/kartor_geotiff/A 17740-2023 georefererad karta.tif", "A 17740-2023")</f>
        <v/>
      </c>
      <c r="AA24">
        <f>HYPERLINK("https://klasma.github.io/Logging_2584/klagomål/A 17740-2023 FSC-klagomål.docx", "A 17740-2023")</f>
        <v/>
      </c>
      <c r="AB24">
        <f>HYPERLINK("https://klasma.github.io/Logging_2584/klagomålsmail/A 17740-2023 FSC-klagomål mail.docx", "A 17740-2023")</f>
        <v/>
      </c>
      <c r="AC24">
        <f>HYPERLINK("https://klasma.github.io/Logging_2584/tillsyn/A 17740-2023 tillsynsbegäran.docx", "A 17740-2023")</f>
        <v/>
      </c>
      <c r="AD24">
        <f>HYPERLINK("https://klasma.github.io/Logging_2584/tillsynsmail/A 17740-2023 tillsynsbegäran mail.docx", "A 17740-2023")</f>
        <v/>
      </c>
    </row>
    <row r="25" ht="15" customHeight="1">
      <c r="A25" t="inlineStr">
        <is>
          <t>A 45810-2022</t>
        </is>
      </c>
      <c r="B25" t="inlineStr">
        <is>
          <t>avverkningsanmälan</t>
        </is>
      </c>
      <c r="C25" t="inlineStr">
        <is>
          <t>Avverkning för annat ändamål</t>
        </is>
      </c>
      <c r="D25" s="1" t="n">
        <v>44844</v>
      </c>
      <c r="E25" s="1" t="n">
        <v>46299</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2660-2026</t>
        </is>
      </c>
      <c r="B26" t="inlineStr">
        <is>
          <t>avverkningsanmälan</t>
        </is>
      </c>
      <c r="C26" t="inlineStr">
        <is>
          <t>Föryngringsavverkning</t>
        </is>
      </c>
      <c r="D26" s="1" t="n">
        <v>46037</v>
      </c>
      <c r="E26" s="1" t="n">
        <v>46299</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61066-2024</t>
        </is>
      </c>
      <c r="B27" t="inlineStr">
        <is>
          <t>avverkningsanmälan</t>
        </is>
      </c>
      <c r="C27" t="inlineStr">
        <is>
          <t>Föryngringsavverkning</t>
        </is>
      </c>
      <c r="D27" s="1" t="n">
        <v>45645</v>
      </c>
      <c r="E27" s="1" t="n">
        <v>46299</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46299</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4367-2024</t>
        </is>
      </c>
      <c r="B29" t="inlineStr">
        <is>
          <t>avverkningsanmälan</t>
        </is>
      </c>
      <c r="C29" t="inlineStr">
        <is>
          <t>Föryngringsavverkning</t>
        </is>
      </c>
      <c r="D29" s="1" t="n">
        <v>45326</v>
      </c>
      <c r="E29" s="1" t="n">
        <v>46299</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46299</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35757-2026</t>
        </is>
      </c>
      <c r="B31" t="inlineStr">
        <is>
          <t>avverkningsanmälan</t>
        </is>
      </c>
      <c r="C31" t="inlineStr">
        <is>
          <t>Föryngringsavverkning</t>
        </is>
      </c>
      <c r="D31" s="1" t="n">
        <v>46265</v>
      </c>
      <c r="E31" s="1" t="n">
        <v>46299</v>
      </c>
      <c r="F31" t="inlineStr">
        <is>
          <t>NORRBOTTENS LÄN</t>
        </is>
      </c>
      <c r="G31" t="inlineStr">
        <is>
          <t>KIRUNA</t>
        </is>
      </c>
      <c r="I31" t="n">
        <v>6.1</v>
      </c>
      <c r="J31" t="n">
        <v>0</v>
      </c>
      <c r="K31" t="n">
        <v>0</v>
      </c>
      <c r="L31" t="n">
        <v>1</v>
      </c>
      <c r="M31" t="n">
        <v>0</v>
      </c>
      <c r="N31" t="n">
        <v>0</v>
      </c>
      <c r="O31" t="n">
        <v>0</v>
      </c>
      <c r="P31" t="n">
        <v>0</v>
      </c>
      <c r="Q31" t="n">
        <v>1</v>
      </c>
      <c r="R31" t="n">
        <v>0</v>
      </c>
      <c r="S31" t="n">
        <v>1</v>
      </c>
      <c r="T31" t="n">
        <v>1</v>
      </c>
      <c r="U31" t="n">
        <v>0</v>
      </c>
      <c r="V31" s="2" t="inlineStr">
        <is>
          <t>Ullticka</t>
        </is>
      </c>
      <c r="W31">
        <f>HYPERLINK("https://klasma.github.io/Logging_2584/artfynd/A 35757-2026 artfynd.xlsx", "A 35757-2026")</f>
        <v/>
      </c>
      <c r="X31">
        <f>HYPERLINK("https://klasma.github.io/Logging_2584/kartor/A 35757-2026 karta.png", "A 35757-2026")</f>
        <v/>
      </c>
      <c r="Y31">
        <f>HYPERLINK("https://klasma.github.io/Logging_2584/kartor_geotiff/A 35757-2026 georefererad karta.tif", "A 35757-2026")</f>
        <v/>
      </c>
      <c r="AA31">
        <f>HYPERLINK("https://klasma.github.io/Logging_2584/klagomål/A 35757-2026 FSC-klagomål.docx", "A 35757-2026")</f>
        <v/>
      </c>
      <c r="AB31">
        <f>HYPERLINK("https://klasma.github.io/Logging_2584/klagomålsmail/A 35757-2026 FSC-klagomål mail.docx", "A 35757-2026")</f>
        <v/>
      </c>
      <c r="AC31">
        <f>HYPERLINK("https://klasma.github.io/Logging_2584/tillsyn/A 35757-2026 tillsynsbegäran.docx", "A 35757-2026")</f>
        <v/>
      </c>
      <c r="AD31">
        <f>HYPERLINK("https://klasma.github.io/Logging_2584/tillsynsmail/A 35757-2026 tillsynsbegäran mail.docx", "A 35757-2026")</f>
        <v/>
      </c>
    </row>
    <row r="32" ht="15" customHeight="1">
      <c r="A32" t="inlineStr">
        <is>
          <t>A 5842-2023</t>
        </is>
      </c>
      <c r="B32" t="inlineStr">
        <is>
          <t>avverkningsanmälan</t>
        </is>
      </c>
      <c r="C32" t="inlineStr">
        <is>
          <t>Avverkning för annat ändamål</t>
        </is>
      </c>
      <c r="D32" s="1" t="n">
        <v>44958</v>
      </c>
      <c r="E32" s="1" t="n">
        <v>46299</v>
      </c>
      <c r="F32" t="inlineStr">
        <is>
          <t>NORRBOTTENS LÄN</t>
        </is>
      </c>
      <c r="G32" t="inlineStr">
        <is>
          <t>KIRUNA</t>
        </is>
      </c>
      <c r="I32" t="n">
        <v>2.9</v>
      </c>
      <c r="J32" t="n">
        <v>0</v>
      </c>
      <c r="K32" t="n">
        <v>0</v>
      </c>
      <c r="L32" t="n">
        <v>0</v>
      </c>
      <c r="M32" t="n">
        <v>1</v>
      </c>
      <c r="N32" t="n">
        <v>0</v>
      </c>
      <c r="O32" t="n">
        <v>0</v>
      </c>
      <c r="P32" t="n">
        <v>0</v>
      </c>
      <c r="Q32" t="n">
        <v>1</v>
      </c>
      <c r="R32" t="n">
        <v>1</v>
      </c>
      <c r="S32" t="n">
        <v>1</v>
      </c>
      <c r="T32" t="n">
        <v>1</v>
      </c>
      <c r="U32" t="n">
        <v>0</v>
      </c>
      <c r="V32" s="2" t="inlineStr">
        <is>
          <t>Fjällsotlav</t>
        </is>
      </c>
      <c r="W32">
        <f>HYPERLINK("https://klasma.github.io/Logging_2584/artfynd/A 5842-2023 artfynd.xlsx", "A 5842-2023")</f>
        <v/>
      </c>
      <c r="X32">
        <f>HYPERLINK("https://klasma.github.io/Logging_2584/kartor/A 5842-2023 karta.png", "A 5842-2023")</f>
        <v/>
      </c>
      <c r="Y32">
        <f>HYPERLINK("https://klasma.github.io/Logging_2584/kartor_geotiff/A 5842-2023 georefererad karta.tif", "A 5842-2023")</f>
        <v/>
      </c>
      <c r="AA32">
        <f>HYPERLINK("https://klasma.github.io/Logging_2584/klagomål/A 5842-2023 FSC-klagomål.docx", "A 5842-2023")</f>
        <v/>
      </c>
      <c r="AB32">
        <f>HYPERLINK("https://klasma.github.io/Logging_2584/klagomålsmail/A 5842-2023 FSC-klagomål mail.docx", "A 5842-2023")</f>
        <v/>
      </c>
      <c r="AC32">
        <f>HYPERLINK("https://klasma.github.io/Logging_2584/tillsyn/A 5842-2023 tillsynsbegäran.docx", "A 5842-2023")</f>
        <v/>
      </c>
      <c r="AD32">
        <f>HYPERLINK("https://klasma.github.io/Logging_2584/tillsynsmail/A 5842-2023 tillsynsbegäran mail.docx", "A 5842-2023")</f>
        <v/>
      </c>
    </row>
    <row r="33" ht="15" customHeight="1">
      <c r="A33" t="inlineStr">
        <is>
          <t>A 45205-2022</t>
        </is>
      </c>
      <c r="B33" t="inlineStr">
        <is>
          <t>avverkningsanmälan</t>
        </is>
      </c>
      <c r="C33" t="inlineStr">
        <is>
          <t>Avverkning för annat ändamål</t>
        </is>
      </c>
      <c r="D33" s="1" t="n">
        <v>44840</v>
      </c>
      <c r="E33" s="1" t="n">
        <v>46299</v>
      </c>
      <c r="F33" t="inlineStr">
        <is>
          <t>NORRBOTTENS LÄN</t>
        </is>
      </c>
      <c r="G33" t="inlineStr">
        <is>
          <t>KIRUNA</t>
        </is>
      </c>
      <c r="H33" t="inlineStr">
        <is>
          <t>Övriga statliga verk och myndigheter</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53752-2022</t>
        </is>
      </c>
      <c r="B34" t="inlineStr">
        <is>
          <t>avverkningsanmälan</t>
        </is>
      </c>
      <c r="C34" t="inlineStr">
        <is>
          <t>Föryngringsavverkning</t>
        </is>
      </c>
      <c r="D34" s="1" t="n">
        <v>44875</v>
      </c>
      <c r="E34" s="1" t="n">
        <v>46299</v>
      </c>
      <c r="F34" t="inlineStr">
        <is>
          <t>NORRBOTTENS LÄN</t>
        </is>
      </c>
      <c r="G34" t="inlineStr">
        <is>
          <t>KIRUNA</t>
        </is>
      </c>
      <c r="H34" t="inlineStr">
        <is>
          <t>SCA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10546-2022</t>
        </is>
      </c>
      <c r="B35" t="inlineStr">
        <is>
          <t>avverkningsanmälan</t>
        </is>
      </c>
      <c r="C35" t="inlineStr">
        <is>
          <t>Föryngringsavverkning</t>
        </is>
      </c>
      <c r="D35" s="1" t="n">
        <v>44623</v>
      </c>
      <c r="E35" s="1" t="n">
        <v>46299</v>
      </c>
      <c r="F35" t="inlineStr">
        <is>
          <t>NORRBOTTENS LÄN</t>
        </is>
      </c>
      <c r="G35" t="inlineStr">
        <is>
          <t>KIRUNA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10545-2022</t>
        </is>
      </c>
      <c r="B36" t="inlineStr">
        <is>
          <t>avverkningsanmälan</t>
        </is>
      </c>
      <c r="C36" t="inlineStr">
        <is>
          <t>Föryngringsavverkning</t>
        </is>
      </c>
      <c r="D36" s="1" t="n">
        <v>44623</v>
      </c>
      <c r="E36" s="1" t="n">
        <v>46299</v>
      </c>
      <c r="F36" t="inlineStr">
        <is>
          <t>NORRBOTTENS LÄN</t>
        </is>
      </c>
      <c r="G36" t="inlineStr">
        <is>
          <t>KIRUNA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39247-2023</t>
        </is>
      </c>
      <c r="B37" t="inlineStr">
        <is>
          <t>avverkningsanmälan</t>
        </is>
      </c>
      <c r="C37" t="inlineStr">
        <is>
          <t>Föryngringsavverkning</t>
        </is>
      </c>
      <c r="D37" s="1" t="n">
        <v>45162</v>
      </c>
      <c r="E37" s="1" t="n">
        <v>46299</v>
      </c>
      <c r="F37" t="inlineStr">
        <is>
          <t>NORRBOTTENS LÄN</t>
        </is>
      </c>
      <c r="G37" t="inlineStr">
        <is>
          <t>KIRUNA</t>
        </is>
      </c>
      <c r="I37" t="n">
        <v>11.7</v>
      </c>
      <c r="J37" t="n">
        <v>0</v>
      </c>
      <c r="K37" t="n">
        <v>0</v>
      </c>
      <c r="L37" t="n">
        <v>0</v>
      </c>
      <c r="M37" t="n">
        <v>0</v>
      </c>
      <c r="N37" t="n">
        <v>0</v>
      </c>
      <c r="O37" t="n">
        <v>0</v>
      </c>
      <c r="P37" t="n">
        <v>0</v>
      </c>
      <c r="Q37" t="n">
        <v>0</v>
      </c>
      <c r="R37" t="n">
        <v>0</v>
      </c>
      <c r="S37" t="n">
        <v>0</v>
      </c>
      <c r="T37" t="n">
        <v>0</v>
      </c>
      <c r="U37" t="n">
        <v>0</v>
      </c>
      <c r="V37" s="2" t="inlineStr"/>
    </row>
    <row r="38" ht="15" customHeight="1">
      <c r="A38" t="inlineStr">
        <is>
          <t>A 49704-2024</t>
        </is>
      </c>
      <c r="B38" t="inlineStr">
        <is>
          <t>avverkningsanmälan</t>
        </is>
      </c>
      <c r="C38" t="inlineStr">
        <is>
          <t>Föryngringsavverkning</t>
        </is>
      </c>
      <c r="D38" s="1" t="n">
        <v>45596</v>
      </c>
      <c r="E38" s="1" t="n">
        <v>46299</v>
      </c>
      <c r="F38" t="inlineStr">
        <is>
          <t>NORRBOTTENS LÄN</t>
        </is>
      </c>
      <c r="G38" t="inlineStr">
        <is>
          <t>KIRUNA</t>
        </is>
      </c>
      <c r="I38" t="n">
        <v>17.4</v>
      </c>
      <c r="J38" t="n">
        <v>0</v>
      </c>
      <c r="K38" t="n">
        <v>0</v>
      </c>
      <c r="L38" t="n">
        <v>0</v>
      </c>
      <c r="M38" t="n">
        <v>0</v>
      </c>
      <c r="N38" t="n">
        <v>0</v>
      </c>
      <c r="O38" t="n">
        <v>0</v>
      </c>
      <c r="P38" t="n">
        <v>0</v>
      </c>
      <c r="Q38" t="n">
        <v>0</v>
      </c>
      <c r="R38" t="n">
        <v>0</v>
      </c>
      <c r="S38" t="n">
        <v>0</v>
      </c>
      <c r="T38" t="n">
        <v>0</v>
      </c>
      <c r="U38" t="n">
        <v>0</v>
      </c>
      <c r="V38" s="2" t="inlineStr"/>
    </row>
    <row r="39" ht="15" customHeight="1">
      <c r="A39" t="inlineStr">
        <is>
          <t>A 22491-2024</t>
        </is>
      </c>
      <c r="B39" t="inlineStr">
        <is>
          <t>avverkningsanmälan</t>
        </is>
      </c>
      <c r="C39" t="inlineStr">
        <is>
          <t>Föryngringsavverkning</t>
        </is>
      </c>
      <c r="D39" s="1" t="n">
        <v>45447</v>
      </c>
      <c r="E39" s="1" t="n">
        <v>46299</v>
      </c>
      <c r="F39" t="inlineStr">
        <is>
          <t>NORRBOTTENS LÄN</t>
        </is>
      </c>
      <c r="G39" t="inlineStr">
        <is>
          <t>KIRUNA</t>
        </is>
      </c>
      <c r="I39" t="n">
        <v>9</v>
      </c>
      <c r="J39" t="n">
        <v>0</v>
      </c>
      <c r="K39" t="n">
        <v>0</v>
      </c>
      <c r="L39" t="n">
        <v>0</v>
      </c>
      <c r="M39" t="n">
        <v>0</v>
      </c>
      <c r="N39" t="n">
        <v>0</v>
      </c>
      <c r="O39" t="n">
        <v>0</v>
      </c>
      <c r="P39" t="n">
        <v>0</v>
      </c>
      <c r="Q39" t="n">
        <v>0</v>
      </c>
      <c r="R39" t="n">
        <v>0</v>
      </c>
      <c r="S39" t="n">
        <v>0</v>
      </c>
      <c r="T39" t="n">
        <v>0</v>
      </c>
      <c r="U39" t="n">
        <v>0</v>
      </c>
      <c r="V39" s="2" t="inlineStr"/>
    </row>
    <row r="40" ht="15" customHeight="1">
      <c r="A40" t="inlineStr">
        <is>
          <t>A 148-2026</t>
        </is>
      </c>
      <c r="B40" t="inlineStr">
        <is>
          <t>avverkningsanmälan</t>
        </is>
      </c>
      <c r="C40" t="inlineStr">
        <is>
          <t>Föryngringsavverkning</t>
        </is>
      </c>
      <c r="D40" s="1" t="n">
        <v>46024</v>
      </c>
      <c r="E40" s="1" t="n">
        <v>46299</v>
      </c>
      <c r="F40" t="inlineStr">
        <is>
          <t>NORRBOTTENS LÄN</t>
        </is>
      </c>
      <c r="G40" t="inlineStr">
        <is>
          <t>KIRUNA</t>
        </is>
      </c>
      <c r="I40" t="n">
        <v>10.2</v>
      </c>
      <c r="J40" t="n">
        <v>0</v>
      </c>
      <c r="K40" t="n">
        <v>0</v>
      </c>
      <c r="L40" t="n">
        <v>0</v>
      </c>
      <c r="M40" t="n">
        <v>0</v>
      </c>
      <c r="N40" t="n">
        <v>0</v>
      </c>
      <c r="O40" t="n">
        <v>0</v>
      </c>
      <c r="P40" t="n">
        <v>0</v>
      </c>
      <c r="Q40" t="n">
        <v>0</v>
      </c>
      <c r="R40" t="n">
        <v>0</v>
      </c>
      <c r="S40" t="n">
        <v>0</v>
      </c>
      <c r="T40" t="n">
        <v>0</v>
      </c>
      <c r="U40" t="n">
        <v>0</v>
      </c>
      <c r="V40" s="2" t="inlineStr"/>
    </row>
    <row r="41" ht="15" customHeight="1">
      <c r="A41" t="inlineStr">
        <is>
          <t>A 62460-2022</t>
        </is>
      </c>
      <c r="B41" t="inlineStr">
        <is>
          <t>avverkningsanmälan</t>
        </is>
      </c>
      <c r="C41" t="inlineStr">
        <is>
          <t>Föryngringsavverkning</t>
        </is>
      </c>
      <c r="D41" s="1" t="n">
        <v>44916</v>
      </c>
      <c r="E41" s="1" t="n">
        <v>46299</v>
      </c>
      <c r="F41" t="inlineStr">
        <is>
          <t>NORRBOTTENS LÄN</t>
        </is>
      </c>
      <c r="G41" t="inlineStr">
        <is>
          <t>KIRUNA</t>
        </is>
      </c>
      <c r="I41" t="n">
        <v>13.4</v>
      </c>
      <c r="J41" t="n">
        <v>0</v>
      </c>
      <c r="K41" t="n">
        <v>0</v>
      </c>
      <c r="L41" t="n">
        <v>0</v>
      </c>
      <c r="M41" t="n">
        <v>0</v>
      </c>
      <c r="N41" t="n">
        <v>0</v>
      </c>
      <c r="O41" t="n">
        <v>0</v>
      </c>
      <c r="P41" t="n">
        <v>0</v>
      </c>
      <c r="Q41" t="n">
        <v>0</v>
      </c>
      <c r="R41" t="n">
        <v>0</v>
      </c>
      <c r="S41" t="n">
        <v>0</v>
      </c>
      <c r="T41" t="n">
        <v>0</v>
      </c>
      <c r="U41" t="n">
        <v>0</v>
      </c>
      <c r="V41" s="2" t="inlineStr"/>
    </row>
    <row r="42" ht="15" customHeight="1">
      <c r="A42" t="inlineStr">
        <is>
          <t>A 36939-2022</t>
        </is>
      </c>
      <c r="B42" t="inlineStr">
        <is>
          <t>avverkningsanmälan</t>
        </is>
      </c>
      <c r="C42" t="inlineStr">
        <is>
          <t>Avverkning för annat ändamål</t>
        </is>
      </c>
      <c r="D42" s="1" t="n">
        <v>44805</v>
      </c>
      <c r="E42" s="1" t="n">
        <v>46299</v>
      </c>
      <c r="F42" t="inlineStr">
        <is>
          <t>NORRBOTTENS LÄN</t>
        </is>
      </c>
      <c r="G42" t="inlineStr">
        <is>
          <t>KIRUNA</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2664-2026</t>
        </is>
      </c>
      <c r="B43" t="inlineStr">
        <is>
          <t>avverkningsanmälan</t>
        </is>
      </c>
      <c r="C43" t="inlineStr">
        <is>
          <t>Föryngringsavverkning</t>
        </is>
      </c>
      <c r="D43" s="1" t="n">
        <v>46037</v>
      </c>
      <c r="E43" s="1" t="n">
        <v>46299</v>
      </c>
      <c r="F43" t="inlineStr">
        <is>
          <t>NORRBOTTENS LÄN</t>
        </is>
      </c>
      <c r="G43" t="inlineStr">
        <is>
          <t>KIRUNA</t>
        </is>
      </c>
      <c r="I43" t="n">
        <v>31.3</v>
      </c>
      <c r="J43" t="n">
        <v>0</v>
      </c>
      <c r="K43" t="n">
        <v>0</v>
      </c>
      <c r="L43" t="n">
        <v>0</v>
      </c>
      <c r="M43" t="n">
        <v>0</v>
      </c>
      <c r="N43" t="n">
        <v>0</v>
      </c>
      <c r="O43" t="n">
        <v>0</v>
      </c>
      <c r="P43" t="n">
        <v>0</v>
      </c>
      <c r="Q43" t="n">
        <v>0</v>
      </c>
      <c r="R43" t="n">
        <v>0</v>
      </c>
      <c r="S43" t="n">
        <v>0</v>
      </c>
      <c r="T43" t="n">
        <v>0</v>
      </c>
      <c r="U43" t="n">
        <v>0</v>
      </c>
      <c r="V43" s="2" t="inlineStr"/>
    </row>
    <row r="44" ht="15" customHeight="1">
      <c r="A44" t="inlineStr">
        <is>
          <t>A 50590-2023</t>
        </is>
      </c>
      <c r="B44" t="inlineStr">
        <is>
          <t>avverkningsanmälan</t>
        </is>
      </c>
      <c r="C44" t="inlineStr">
        <is>
          <t>Föryngringsavverkning</t>
        </is>
      </c>
      <c r="D44" s="1" t="n">
        <v>45217</v>
      </c>
      <c r="E44" s="1" t="n">
        <v>46299</v>
      </c>
      <c r="F44" t="inlineStr">
        <is>
          <t>NORRBOTTENS LÄN</t>
        </is>
      </c>
      <c r="G44" t="inlineStr">
        <is>
          <t>KIRUNA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46299</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46299</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21184-2025</t>
        </is>
      </c>
      <c r="B47" t="inlineStr">
        <is>
          <t>avverkningsanmälan</t>
        </is>
      </c>
      <c r="C47" t="inlineStr">
        <is>
          <t>Föryngringsavverkning</t>
        </is>
      </c>
      <c r="D47" s="1" t="n">
        <v>45777</v>
      </c>
      <c r="E47" s="1" t="n">
        <v>46299</v>
      </c>
      <c r="F47" t="inlineStr">
        <is>
          <t>NORRBOTTENS LÄN</t>
        </is>
      </c>
      <c r="G47" t="inlineStr">
        <is>
          <t>KIRUNA</t>
        </is>
      </c>
      <c r="I47" t="n">
        <v>20.1</v>
      </c>
      <c r="J47" t="n">
        <v>0</v>
      </c>
      <c r="K47" t="n">
        <v>0</v>
      </c>
      <c r="L47" t="n">
        <v>0</v>
      </c>
      <c r="M47" t="n">
        <v>0</v>
      </c>
      <c r="N47" t="n">
        <v>0</v>
      </c>
      <c r="O47" t="n">
        <v>0</v>
      </c>
      <c r="P47" t="n">
        <v>0</v>
      </c>
      <c r="Q47" t="n">
        <v>0</v>
      </c>
      <c r="R47" t="n">
        <v>0</v>
      </c>
      <c r="S47" t="n">
        <v>0</v>
      </c>
      <c r="T47" t="n">
        <v>0</v>
      </c>
      <c r="U47" t="n">
        <v>0</v>
      </c>
      <c r="V47" s="2" t="inlineStr"/>
    </row>
    <row r="48" ht="15" customHeight="1">
      <c r="A48" t="inlineStr">
        <is>
          <t>A 13405-2026</t>
        </is>
      </c>
      <c r="B48" t="inlineStr">
        <is>
          <t>avverkningsanmälan</t>
        </is>
      </c>
      <c r="C48" t="inlineStr">
        <is>
          <t>Föryngringsavverkning</t>
        </is>
      </c>
      <c r="D48" s="1" t="n">
        <v>46094</v>
      </c>
      <c r="E48" s="1" t="n">
        <v>46299</v>
      </c>
      <c r="F48" t="inlineStr">
        <is>
          <t>NORRBOTTENS LÄN</t>
        </is>
      </c>
      <c r="G48" t="inlineStr">
        <is>
          <t>KIRUNA</t>
        </is>
      </c>
      <c r="I48" t="n">
        <v>24.5</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46299</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46299</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46299</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5411-2024</t>
        </is>
      </c>
      <c r="B52" t="inlineStr">
        <is>
          <t>avverkningsanmälan</t>
        </is>
      </c>
      <c r="C52" t="inlineStr">
        <is>
          <t>Föryngringsavverkning</t>
        </is>
      </c>
      <c r="D52" s="1" t="n">
        <v>45331</v>
      </c>
      <c r="E52" s="1" t="n">
        <v>46299</v>
      </c>
      <c r="F52" t="inlineStr">
        <is>
          <t>NORRBOTTENS LÄN</t>
        </is>
      </c>
      <c r="G52" t="inlineStr">
        <is>
          <t>KIRUNA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18388-2026</t>
        </is>
      </c>
      <c r="B53" t="inlineStr">
        <is>
          <t>avverkningsanmälan</t>
        </is>
      </c>
      <c r="C53" t="inlineStr">
        <is>
          <t>Föryngringsavverkning</t>
        </is>
      </c>
      <c r="D53" s="1" t="n">
        <v>46126</v>
      </c>
      <c r="E53" s="1" t="n">
        <v>46299</v>
      </c>
      <c r="F53" t="inlineStr">
        <is>
          <t>NORRBOTTENS LÄN</t>
        </is>
      </c>
      <c r="G53" t="inlineStr">
        <is>
          <t>KIRUNA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12937-2026</t>
        </is>
      </c>
      <c r="B54" t="inlineStr">
        <is>
          <t>avverkningsanmälan</t>
        </is>
      </c>
      <c r="C54" t="inlineStr">
        <is>
          <t>Föryngringsavverkning</t>
        </is>
      </c>
      <c r="D54" s="1" t="n">
        <v>46092</v>
      </c>
      <c r="E54" s="1" t="n">
        <v>46299</v>
      </c>
      <c r="F54" t="inlineStr">
        <is>
          <t>NORRBOTTENS LÄN</t>
        </is>
      </c>
      <c r="G54" t="inlineStr">
        <is>
          <t>KIRUNA</t>
        </is>
      </c>
      <c r="I54" t="n">
        <v>37.2</v>
      </c>
      <c r="J54" t="n">
        <v>0</v>
      </c>
      <c r="K54" t="n">
        <v>0</v>
      </c>
      <c r="L54" t="n">
        <v>0</v>
      </c>
      <c r="M54" t="n">
        <v>0</v>
      </c>
      <c r="N54" t="n">
        <v>0</v>
      </c>
      <c r="O54" t="n">
        <v>0</v>
      </c>
      <c r="P54" t="n">
        <v>0</v>
      </c>
      <c r="Q54" t="n">
        <v>0</v>
      </c>
      <c r="R54" t="n">
        <v>0</v>
      </c>
      <c r="S54" t="n">
        <v>0</v>
      </c>
      <c r="T54" t="n">
        <v>0</v>
      </c>
      <c r="U54" t="n">
        <v>0</v>
      </c>
      <c r="V54" s="2" t="inlineStr"/>
    </row>
    <row r="55" ht="15" customHeight="1">
      <c r="A55" t="inlineStr">
        <is>
          <t>A 28707-2022</t>
        </is>
      </c>
      <c r="B55" t="inlineStr">
        <is>
          <t>avverkningsanmälan</t>
        </is>
      </c>
      <c r="C55" t="inlineStr">
        <is>
          <t>Föryngringsavverkning</t>
        </is>
      </c>
      <c r="D55" s="1" t="n">
        <v>44748</v>
      </c>
      <c r="E55" s="1" t="n">
        <v>46299</v>
      </c>
      <c r="F55" t="inlineStr">
        <is>
          <t>NORRBOTTENS LÄN</t>
        </is>
      </c>
      <c r="G55" t="inlineStr">
        <is>
          <t>KIRUNA</t>
        </is>
      </c>
      <c r="I55" t="n">
        <v>15.2</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46299</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93-2024</t>
        </is>
      </c>
      <c r="B57" t="inlineStr">
        <is>
          <t>avverkningsanmälan</t>
        </is>
      </c>
      <c r="C57" t="inlineStr">
        <is>
          <t>Avverkning för annat ändamål</t>
        </is>
      </c>
      <c r="D57" s="1" t="n">
        <v>45293</v>
      </c>
      <c r="E57" s="1" t="n">
        <v>46299</v>
      </c>
      <c r="F57" t="inlineStr">
        <is>
          <t>NORRBOTTENS LÄN</t>
        </is>
      </c>
      <c r="G57" t="inlineStr">
        <is>
          <t>KIRUNA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39271-2023</t>
        </is>
      </c>
      <c r="B58" t="inlineStr">
        <is>
          <t>avverkningsanmälan</t>
        </is>
      </c>
      <c r="C58" t="inlineStr">
        <is>
          <t>Föryngringsavverkning</t>
        </is>
      </c>
      <c r="D58" s="1" t="n">
        <v>45162</v>
      </c>
      <c r="E58" s="1" t="n">
        <v>46299</v>
      </c>
      <c r="F58" t="inlineStr">
        <is>
          <t>NORRBOTTENS LÄN</t>
        </is>
      </c>
      <c r="G58" t="inlineStr">
        <is>
          <t>KIRUNA</t>
        </is>
      </c>
      <c r="I58" t="n">
        <v>51.9</v>
      </c>
      <c r="J58" t="n">
        <v>0</v>
      </c>
      <c r="K58" t="n">
        <v>0</v>
      </c>
      <c r="L58" t="n">
        <v>0</v>
      </c>
      <c r="M58" t="n">
        <v>0</v>
      </c>
      <c r="N58" t="n">
        <v>0</v>
      </c>
      <c r="O58" t="n">
        <v>0</v>
      </c>
      <c r="P58" t="n">
        <v>0</v>
      </c>
      <c r="Q58" t="n">
        <v>0</v>
      </c>
      <c r="R58" t="n">
        <v>0</v>
      </c>
      <c r="S58" t="n">
        <v>0</v>
      </c>
      <c r="T58" t="n">
        <v>0</v>
      </c>
      <c r="U58" t="n">
        <v>0</v>
      </c>
      <c r="V58" s="2" t="inlineStr"/>
    </row>
    <row r="59" ht="15" customHeight="1">
      <c r="A59" t="inlineStr">
        <is>
          <t>A 34663-2025</t>
        </is>
      </c>
      <c r="B59" t="inlineStr">
        <is>
          <t>avverkningsanmälan</t>
        </is>
      </c>
      <c r="C59" t="inlineStr">
        <is>
          <t>Föryngringsavverkning</t>
        </is>
      </c>
      <c r="D59" s="1" t="n">
        <v>45848</v>
      </c>
      <c r="E59" s="1" t="n">
        <v>46299</v>
      </c>
      <c r="F59" t="inlineStr">
        <is>
          <t>NORRBOTTENS LÄN</t>
        </is>
      </c>
      <c r="G59" t="inlineStr">
        <is>
          <t>KIRUNA</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34664-2025</t>
        </is>
      </c>
      <c r="B60" t="inlineStr">
        <is>
          <t>avverkningsanmälan</t>
        </is>
      </c>
      <c r="C60" t="inlineStr">
        <is>
          <t>Föryngringsavverkning</t>
        </is>
      </c>
      <c r="D60" s="1" t="n">
        <v>45848</v>
      </c>
      <c r="E60" s="1" t="n">
        <v>46299</v>
      </c>
      <c r="F60" t="inlineStr">
        <is>
          <t>NORRBOTTENS LÄN</t>
        </is>
      </c>
      <c r="G60" t="inlineStr">
        <is>
          <t>KIRUNA</t>
        </is>
      </c>
      <c r="I60" t="n">
        <v>8.4</v>
      </c>
      <c r="J60" t="n">
        <v>0</v>
      </c>
      <c r="K60" t="n">
        <v>0</v>
      </c>
      <c r="L60" t="n">
        <v>0</v>
      </c>
      <c r="M60" t="n">
        <v>0</v>
      </c>
      <c r="N60" t="n">
        <v>0</v>
      </c>
      <c r="O60" t="n">
        <v>0</v>
      </c>
      <c r="P60" t="n">
        <v>0</v>
      </c>
      <c r="Q60" t="n">
        <v>0</v>
      </c>
      <c r="R60" t="n">
        <v>0</v>
      </c>
      <c r="S60" t="n">
        <v>0</v>
      </c>
      <c r="T60" t="n">
        <v>0</v>
      </c>
      <c r="U60" t="n">
        <v>0</v>
      </c>
      <c r="V60" s="2" t="inlineStr"/>
    </row>
    <row r="61" ht="15" customHeight="1">
      <c r="A61" t="inlineStr">
        <is>
          <t>A 56168-2023</t>
        </is>
      </c>
      <c r="B61" t="inlineStr">
        <is>
          <t>avverkningsanmälan</t>
        </is>
      </c>
      <c r="C61" t="inlineStr">
        <is>
          <t>Avverkning för annat ändamål</t>
        </is>
      </c>
      <c r="D61" s="1" t="n">
        <v>45236</v>
      </c>
      <c r="E61" s="1" t="n">
        <v>46299</v>
      </c>
      <c r="F61" t="inlineStr">
        <is>
          <t>NORRBOTTENS LÄN</t>
        </is>
      </c>
      <c r="G61" t="inlineStr">
        <is>
          <t>KIRUNA</t>
        </is>
      </c>
      <c r="H61" t="inlineStr">
        <is>
          <t>Sveaskog</t>
        </is>
      </c>
      <c r="I61" t="n">
        <v>6.6</v>
      </c>
      <c r="J61" t="n">
        <v>0</v>
      </c>
      <c r="K61" t="n">
        <v>0</v>
      </c>
      <c r="L61" t="n">
        <v>0</v>
      </c>
      <c r="M61" t="n">
        <v>0</v>
      </c>
      <c r="N61" t="n">
        <v>0</v>
      </c>
      <c r="O61" t="n">
        <v>0</v>
      </c>
      <c r="P61" t="n">
        <v>0</v>
      </c>
      <c r="Q61" t="n">
        <v>0</v>
      </c>
      <c r="R61" t="n">
        <v>0</v>
      </c>
      <c r="S61" t="n">
        <v>0</v>
      </c>
      <c r="T61" t="n">
        <v>0</v>
      </c>
      <c r="U61" t="n">
        <v>0</v>
      </c>
      <c r="V61" s="2" t="inlineStr"/>
    </row>
    <row r="62" ht="15" customHeight="1">
      <c r="A62" t="inlineStr">
        <is>
          <t>A 22494-2024</t>
        </is>
      </c>
      <c r="B62" t="inlineStr">
        <is>
          <t>avverkningsanmälan</t>
        </is>
      </c>
      <c r="C62" t="inlineStr">
        <is>
          <t>Föryngringsavverkning</t>
        </is>
      </c>
      <c r="D62" s="1" t="n">
        <v>45447</v>
      </c>
      <c r="E62" s="1" t="n">
        <v>46299</v>
      </c>
      <c r="F62" t="inlineStr">
        <is>
          <t>NORRBOTTENS LÄN</t>
        </is>
      </c>
      <c r="G62" t="inlineStr">
        <is>
          <t>KIRUNA</t>
        </is>
      </c>
      <c r="I62" t="n">
        <v>6</v>
      </c>
      <c r="J62" t="n">
        <v>0</v>
      </c>
      <c r="K62" t="n">
        <v>0</v>
      </c>
      <c r="L62" t="n">
        <v>0</v>
      </c>
      <c r="M62" t="n">
        <v>0</v>
      </c>
      <c r="N62" t="n">
        <v>0</v>
      </c>
      <c r="O62" t="n">
        <v>0</v>
      </c>
      <c r="P62" t="n">
        <v>0</v>
      </c>
      <c r="Q62" t="n">
        <v>0</v>
      </c>
      <c r="R62" t="n">
        <v>0</v>
      </c>
      <c r="S62" t="n">
        <v>0</v>
      </c>
      <c r="T62" t="n">
        <v>0</v>
      </c>
      <c r="U62" t="n">
        <v>0</v>
      </c>
      <c r="V62" s="2" t="inlineStr"/>
    </row>
    <row r="63" ht="15" customHeight="1">
      <c r="A63" t="inlineStr">
        <is>
          <t>A 47730-2024</t>
        </is>
      </c>
      <c r="B63" t="inlineStr">
        <is>
          <t>avverkningsanmälan</t>
        </is>
      </c>
      <c r="C63" t="inlineStr">
        <is>
          <t>Föryngringsavverkning</t>
        </is>
      </c>
      <c r="D63" s="1" t="n">
        <v>45588</v>
      </c>
      <c r="E63" s="1" t="n">
        <v>46299</v>
      </c>
      <c r="F63" t="inlineStr">
        <is>
          <t>NORRBOTTENS LÄN</t>
        </is>
      </c>
      <c r="G63" t="inlineStr">
        <is>
          <t>KIRUNA</t>
        </is>
      </c>
      <c r="H63" t="inlineStr">
        <is>
          <t>Allmännings- och besparingsskogar</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9069-2023</t>
        </is>
      </c>
      <c r="B64" t="inlineStr">
        <is>
          <t>avverkningsanmälan</t>
        </is>
      </c>
      <c r="C64" t="inlineStr">
        <is>
          <t>Föryngringsavverkning</t>
        </is>
      </c>
      <c r="D64" s="1" t="n">
        <v>44979</v>
      </c>
      <c r="E64" s="1" t="n">
        <v>46299</v>
      </c>
      <c r="F64" t="inlineStr">
        <is>
          <t>NORRBOTTENS LÄN</t>
        </is>
      </c>
      <c r="G64" t="inlineStr">
        <is>
          <t>KIRUNA</t>
        </is>
      </c>
      <c r="H64" t="inlineStr">
        <is>
          <t>SCA</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39006-2023</t>
        </is>
      </c>
      <c r="B65" t="inlineStr">
        <is>
          <t>avverkningsanmälan</t>
        </is>
      </c>
      <c r="C65" t="inlineStr">
        <is>
          <t>Avverkning för annat ändamål</t>
        </is>
      </c>
      <c r="D65" s="1" t="n">
        <v>45162</v>
      </c>
      <c r="E65" s="1" t="n">
        <v>46299</v>
      </c>
      <c r="F65" t="inlineStr">
        <is>
          <t>NORRBOTTENS LÄN</t>
        </is>
      </c>
      <c r="G65" t="inlineStr">
        <is>
          <t>KIRUNA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30594-2026</t>
        </is>
      </c>
      <c r="B66" t="inlineStr">
        <is>
          <t>avverkningsanmälan</t>
        </is>
      </c>
      <c r="C66" t="inlineStr">
        <is>
          <t>Föryngringsavverkning</t>
        </is>
      </c>
      <c r="D66" s="1" t="n">
        <v>46210</v>
      </c>
      <c r="E66" s="1" t="n">
        <v>46299</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30591-2026</t>
        </is>
      </c>
      <c r="B67" t="inlineStr">
        <is>
          <t>avverkningsanmälan</t>
        </is>
      </c>
      <c r="C67" t="inlineStr">
        <is>
          <t>Föryngringsavverkning</t>
        </is>
      </c>
      <c r="D67" s="1" t="n">
        <v>46210</v>
      </c>
      <c r="E67" s="1" t="n">
        <v>46299</v>
      </c>
      <c r="F67" t="inlineStr">
        <is>
          <t>NORRBOTTENS LÄN</t>
        </is>
      </c>
      <c r="G67" t="inlineStr">
        <is>
          <t>KIRUNA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46299</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20744-2024</t>
        </is>
      </c>
      <c r="B69" t="inlineStr">
        <is>
          <t>avverkningsanmälan</t>
        </is>
      </c>
      <c r="C69" t="inlineStr">
        <is>
          <t>Föryngringsavverkning</t>
        </is>
      </c>
      <c r="D69" s="1" t="n">
        <v>45436</v>
      </c>
      <c r="E69" s="1" t="n">
        <v>46299</v>
      </c>
      <c r="F69" t="inlineStr">
        <is>
          <t>NORRBOTTENS LÄN</t>
        </is>
      </c>
      <c r="G69" t="inlineStr">
        <is>
          <t>KIRUNA</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35765-2026</t>
        </is>
      </c>
      <c r="B70" t="inlineStr">
        <is>
          <t>avverkningsanmälan</t>
        </is>
      </c>
      <c r="C70" t="inlineStr">
        <is>
          <t>Föryngringsavverkning</t>
        </is>
      </c>
      <c r="D70" s="1" t="n">
        <v>46265</v>
      </c>
      <c r="E70" s="1" t="n">
        <v>46299</v>
      </c>
      <c r="F70" t="inlineStr">
        <is>
          <t>NORRBOTTENS LÄN</t>
        </is>
      </c>
      <c r="G70" t="inlineStr">
        <is>
          <t>KIRUNA</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18737-2023</t>
        </is>
      </c>
      <c r="B71" t="inlineStr">
        <is>
          <t>avverkningsanmälan</t>
        </is>
      </c>
      <c r="C71" t="inlineStr">
        <is>
          <t>Avverkning för annat ändamål</t>
        </is>
      </c>
      <c r="D71" s="1" t="n">
        <v>45042</v>
      </c>
      <c r="E71" s="1" t="n">
        <v>46299</v>
      </c>
      <c r="F71" t="inlineStr">
        <is>
          <t>NORRBOTTENS LÄN</t>
        </is>
      </c>
      <c r="G71" t="inlineStr">
        <is>
          <t>KIRUNA</t>
        </is>
      </c>
      <c r="H71" t="inlineStr">
        <is>
          <t>Sveaskog</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8350-2025</t>
        </is>
      </c>
      <c r="B72" t="inlineStr">
        <is>
          <t>avverkningsanmälan</t>
        </is>
      </c>
      <c r="C72" t="inlineStr">
        <is>
          <t>Avverkning för annat ändamål</t>
        </is>
      </c>
      <c r="D72" s="1" t="n">
        <v>45708</v>
      </c>
      <c r="E72" s="1" t="n">
        <v>46299</v>
      </c>
      <c r="F72" t="inlineStr">
        <is>
          <t>NORRBOTTENS LÄN</t>
        </is>
      </c>
      <c r="G72" t="inlineStr">
        <is>
          <t>KIRUNA</t>
        </is>
      </c>
      <c r="H72" t="inlineStr">
        <is>
          <t>Övriga statliga verk och myndigheter</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46299</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22504-2024</t>
        </is>
      </c>
      <c r="B74" t="inlineStr">
        <is>
          <t>avverkningsanmälan</t>
        </is>
      </c>
      <c r="C74" t="inlineStr">
        <is>
          <t>Föryngringsavverkning</t>
        </is>
      </c>
      <c r="D74" s="1" t="n">
        <v>45447</v>
      </c>
      <c r="E74" s="1" t="n">
        <v>46299</v>
      </c>
      <c r="F74" t="inlineStr">
        <is>
          <t>NORRBOTTENS LÄN</t>
        </is>
      </c>
      <c r="G74" t="inlineStr">
        <is>
          <t>KIRUNA</t>
        </is>
      </c>
      <c r="I74" t="n">
        <v>15.6</v>
      </c>
      <c r="J74" t="n">
        <v>0</v>
      </c>
      <c r="K74" t="n">
        <v>0</v>
      </c>
      <c r="L74" t="n">
        <v>0</v>
      </c>
      <c r="M74" t="n">
        <v>0</v>
      </c>
      <c r="N74" t="n">
        <v>0</v>
      </c>
      <c r="O74" t="n">
        <v>0</v>
      </c>
      <c r="P74" t="n">
        <v>0</v>
      </c>
      <c r="Q74" t="n">
        <v>0</v>
      </c>
      <c r="R74" t="n">
        <v>0</v>
      </c>
      <c r="S74" t="n">
        <v>0</v>
      </c>
      <c r="T74" t="n">
        <v>0</v>
      </c>
      <c r="U74" t="n">
        <v>0</v>
      </c>
      <c r="V74" s="2" t="inlineStr"/>
    </row>
    <row r="75" ht="15" customHeight="1">
      <c r="A75" t="inlineStr">
        <is>
          <t>A 39321-2026</t>
        </is>
      </c>
      <c r="B75" t="inlineStr">
        <is>
          <t>avverkningsanmälan</t>
        </is>
      </c>
      <c r="C75" t="inlineStr">
        <is>
          <t>Föryngringsavverkning</t>
        </is>
      </c>
      <c r="D75" s="1" t="n">
        <v>46288</v>
      </c>
      <c r="E75" s="1" t="n">
        <v>46299</v>
      </c>
      <c r="F75" t="inlineStr">
        <is>
          <t>NORRBOTTENS LÄN</t>
        </is>
      </c>
      <c r="G75" t="inlineStr">
        <is>
          <t>KIRUNA</t>
        </is>
      </c>
      <c r="I75" t="n">
        <v>13.6</v>
      </c>
      <c r="J75" t="n">
        <v>0</v>
      </c>
      <c r="K75" t="n">
        <v>0</v>
      </c>
      <c r="L75" t="n">
        <v>0</v>
      </c>
      <c r="M75" t="n">
        <v>0</v>
      </c>
      <c r="N75" t="n">
        <v>0</v>
      </c>
      <c r="O75" t="n">
        <v>0</v>
      </c>
      <c r="P75" t="n">
        <v>0</v>
      </c>
      <c r="Q75" t="n">
        <v>0</v>
      </c>
      <c r="R75" t="n">
        <v>0</v>
      </c>
      <c r="S75" t="n">
        <v>0</v>
      </c>
      <c r="T75" t="n">
        <v>0</v>
      </c>
      <c r="U75" t="n">
        <v>0</v>
      </c>
      <c r="V75" s="2" t="inlineStr"/>
    </row>
    <row r="76" ht="15" customHeight="1">
      <c r="A76" t="inlineStr">
        <is>
          <t>A 40136-2026</t>
        </is>
      </c>
      <c r="B76" t="inlineStr">
        <is>
          <t>avverkningsanmälan</t>
        </is>
      </c>
      <c r="C76" t="inlineStr">
        <is>
          <t>Föryngringsavverkning</t>
        </is>
      </c>
      <c r="D76" s="1" t="n">
        <v>46293</v>
      </c>
      <c r="E76" s="1" t="n">
        <v>46299</v>
      </c>
      <c r="F76" t="inlineStr">
        <is>
          <t>NORRBOTTENS LÄN</t>
        </is>
      </c>
      <c r="G76" t="inlineStr">
        <is>
          <t>KIRUNA</t>
        </is>
      </c>
      <c r="I76" t="n">
        <v>9.5</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46299</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62452-2022</t>
        </is>
      </c>
      <c r="B78" t="inlineStr">
        <is>
          <t>avverkningsanmälan</t>
        </is>
      </c>
      <c r="C78" t="inlineStr">
        <is>
          <t>Föryngringsavverkning</t>
        </is>
      </c>
      <c r="D78" s="1" t="n">
        <v>44916</v>
      </c>
      <c r="E78" s="1" t="n">
        <v>46299</v>
      </c>
      <c r="F78" t="inlineStr">
        <is>
          <t>NORRBOTTENS LÄN</t>
        </is>
      </c>
      <c r="G78" t="inlineStr">
        <is>
          <t>KIRUNA</t>
        </is>
      </c>
      <c r="I78" t="n">
        <v>7.2</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46299</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38577-2024</t>
        </is>
      </c>
      <c r="B80" t="inlineStr">
        <is>
          <t>avverkningsanmälan</t>
        </is>
      </c>
      <c r="C80" t="inlineStr">
        <is>
          <t>Föryngringsavverkning</t>
        </is>
      </c>
      <c r="D80" s="1" t="n">
        <v>45546</v>
      </c>
      <c r="E80" s="1" t="n">
        <v>46299</v>
      </c>
      <c r="F80" t="inlineStr">
        <is>
          <t>NORRBOTTENS LÄN</t>
        </is>
      </c>
      <c r="G80" t="inlineStr">
        <is>
          <t>KIRUNA</t>
        </is>
      </c>
      <c r="I80" t="n">
        <v>39.8</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46299</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23469-2022</t>
        </is>
      </c>
      <c r="B82" t="inlineStr">
        <is>
          <t>avverkningsanmälan</t>
        </is>
      </c>
      <c r="C82" t="inlineStr">
        <is>
          <t>Föryngringsavverkning</t>
        </is>
      </c>
      <c r="D82" s="1" t="n">
        <v>44721</v>
      </c>
      <c r="E82" s="1" t="n">
        <v>46299</v>
      </c>
      <c r="F82" t="inlineStr">
        <is>
          <t>NORRBOTTENS LÄN</t>
        </is>
      </c>
      <c r="G82" t="inlineStr">
        <is>
          <t>KIRUNA</t>
        </is>
      </c>
      <c r="I82" t="n">
        <v>11.8</v>
      </c>
      <c r="J82" t="n">
        <v>0</v>
      </c>
      <c r="K82" t="n">
        <v>0</v>
      </c>
      <c r="L82" t="n">
        <v>0</v>
      </c>
      <c r="M82" t="n">
        <v>0</v>
      </c>
      <c r="N82" t="n">
        <v>0</v>
      </c>
      <c r="O82" t="n">
        <v>0</v>
      </c>
      <c r="P82" t="n">
        <v>0</v>
      </c>
      <c r="Q82" t="n">
        <v>0</v>
      </c>
      <c r="R82" t="n">
        <v>0</v>
      </c>
      <c r="S82" t="n">
        <v>0</v>
      </c>
      <c r="T82" t="n">
        <v>0</v>
      </c>
      <c r="U82" t="n">
        <v>0</v>
      </c>
      <c r="V82" s="2" t="inlineStr"/>
    </row>
    <row r="83" ht="15" customHeight="1">
      <c r="A83" t="inlineStr">
        <is>
          <t>A 18738-2022</t>
        </is>
      </c>
      <c r="B83" t="inlineStr">
        <is>
          <t>avverkningsanmälan</t>
        </is>
      </c>
      <c r="C83" t="inlineStr">
        <is>
          <t>Avverkning för annat ändamål</t>
        </is>
      </c>
      <c r="D83" s="1" t="n">
        <v>44687</v>
      </c>
      <c r="E83" s="1" t="n">
        <v>46299</v>
      </c>
      <c r="F83" t="inlineStr">
        <is>
          <t>NORRBOTTENS LÄN</t>
        </is>
      </c>
      <c r="G83" t="inlineStr">
        <is>
          <t>KIRUNA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5476-2024</t>
        </is>
      </c>
      <c r="B84" t="inlineStr">
        <is>
          <t>avverkningsanmälan</t>
        </is>
      </c>
      <c r="C84" t="inlineStr">
        <is>
          <t>Föryngringsavverkning</t>
        </is>
      </c>
      <c r="D84" s="1" t="n">
        <v>45333</v>
      </c>
      <c r="E84" s="1" t="n">
        <v>46299</v>
      </c>
      <c r="F84" t="inlineStr">
        <is>
          <t>NORRBOTTENS LÄN</t>
        </is>
      </c>
      <c r="G84" t="inlineStr">
        <is>
          <t>KIRUNA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34693-2022</t>
        </is>
      </c>
      <c r="B85" t="inlineStr">
        <is>
          <t>avverkningsanmälan</t>
        </is>
      </c>
      <c r="C85" t="inlineStr">
        <is>
          <t>Föryngringsavverkning</t>
        </is>
      </c>
      <c r="D85" s="1" t="n">
        <v>44795</v>
      </c>
      <c r="E85" s="1" t="n">
        <v>46299</v>
      </c>
      <c r="F85" t="inlineStr">
        <is>
          <t>NORRBOTTENS LÄN</t>
        </is>
      </c>
      <c r="G85" t="inlineStr">
        <is>
          <t>KIRUNA</t>
        </is>
      </c>
      <c r="I85" t="n">
        <v>12.3</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46299</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18721-2024</t>
        </is>
      </c>
      <c r="B87" t="inlineStr">
        <is>
          <t>avverkningsanmälan</t>
        </is>
      </c>
      <c r="C87" t="inlineStr">
        <is>
          <t>Föryngringsavverkning</t>
        </is>
      </c>
      <c r="D87" s="1" t="n">
        <v>45426</v>
      </c>
      <c r="E87" s="1" t="n">
        <v>46299</v>
      </c>
      <c r="F87" t="inlineStr">
        <is>
          <t>NORRBOTTENS LÄN</t>
        </is>
      </c>
      <c r="G87" t="inlineStr">
        <is>
          <t>KIRUNA</t>
        </is>
      </c>
      <c r="I87" t="n">
        <v>62.1</v>
      </c>
      <c r="J87" t="n">
        <v>0</v>
      </c>
      <c r="K87" t="n">
        <v>0</v>
      </c>
      <c r="L87" t="n">
        <v>0</v>
      </c>
      <c r="M87" t="n">
        <v>0</v>
      </c>
      <c r="N87" t="n">
        <v>0</v>
      </c>
      <c r="O87" t="n">
        <v>0</v>
      </c>
      <c r="P87" t="n">
        <v>0</v>
      </c>
      <c r="Q87" t="n">
        <v>0</v>
      </c>
      <c r="R87" t="n">
        <v>0</v>
      </c>
      <c r="S87" t="n">
        <v>0</v>
      </c>
      <c r="T87" t="n">
        <v>0</v>
      </c>
      <c r="U87" t="n">
        <v>0</v>
      </c>
      <c r="V87" s="2" t="inlineStr"/>
    </row>
    <row r="88" ht="15" customHeight="1">
      <c r="A88" t="inlineStr">
        <is>
          <t>A 13526-2024</t>
        </is>
      </c>
      <c r="B88" t="inlineStr">
        <is>
          <t>avverkningsanmälan</t>
        </is>
      </c>
      <c r="C88" t="inlineStr">
        <is>
          <t>Föryngringsavverkning</t>
        </is>
      </c>
      <c r="D88" s="1" t="n">
        <v>45387</v>
      </c>
      <c r="E88" s="1" t="n">
        <v>46299</v>
      </c>
      <c r="F88" t="inlineStr">
        <is>
          <t>NORRBOTTENS LÄN</t>
        </is>
      </c>
      <c r="G88" t="inlineStr">
        <is>
          <t>KIRUNA</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62439-2022</t>
        </is>
      </c>
      <c r="B89" t="inlineStr">
        <is>
          <t>avverkningsanmälan</t>
        </is>
      </c>
      <c r="C89" t="inlineStr">
        <is>
          <t>Föryngringsavverkning</t>
        </is>
      </c>
      <c r="D89" s="1" t="n">
        <v>44916</v>
      </c>
      <c r="E89" s="1" t="n">
        <v>46299</v>
      </c>
      <c r="F89" t="inlineStr">
        <is>
          <t>NORRBOTTENS LÄN</t>
        </is>
      </c>
      <c r="G89" t="inlineStr">
        <is>
          <t>KIRUNA</t>
        </is>
      </c>
      <c r="I89" t="n">
        <v>3.2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46299</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2026-10-04T01:59:24Z</dcterms:created>
  <dcterms:modified xmlns:dcterms="http://purl.org/dc/terms/" xmlns:xsi="http://www.w3.org/2001/XMLSchema-instance" xsi:type="dcterms:W3CDTF">2026-10-04T01:59:24Z</dcterms:modified>
</cp:coreProperties>
</file>