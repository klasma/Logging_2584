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46269</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46269</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46269</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46269</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46269</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46269</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46269</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46269</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46269</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46269</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46269</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46269</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46269</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46269</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17740-2023</t>
        </is>
      </c>
      <c r="B19" t="inlineStr">
        <is>
          <t>avverkningsanmälan</t>
        </is>
      </c>
      <c r="C19" t="inlineStr">
        <is>
          <t>Föryngringsavverkning</t>
        </is>
      </c>
      <c r="D19" s="1" t="n">
        <v>45035</v>
      </c>
      <c r="E19" s="1" t="n">
        <v>46269</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46269</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46269</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45810-2022</t>
        </is>
      </c>
      <c r="B22" t="inlineStr">
        <is>
          <t>avverkningsanmälan</t>
        </is>
      </c>
      <c r="C22" t="inlineStr">
        <is>
          <t>Avverkning för annat ändamål</t>
        </is>
      </c>
      <c r="D22" s="1" t="n">
        <v>44844</v>
      </c>
      <c r="E22" s="1" t="n">
        <v>46269</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46269</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46269</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5842-2023</t>
        </is>
      </c>
      <c r="B25" t="inlineStr">
        <is>
          <t>avverkningsanmälan</t>
        </is>
      </c>
      <c r="C25" t="inlineStr">
        <is>
          <t>Avverkning för annat ändamål</t>
        </is>
      </c>
      <c r="D25" s="1" t="n">
        <v>44958</v>
      </c>
      <c r="E25" s="1" t="n">
        <v>46269</v>
      </c>
      <c r="F25" t="inlineStr">
        <is>
          <t>NORRBOTTENS LÄN</t>
        </is>
      </c>
      <c r="G25" t="inlineStr">
        <is>
          <t>KIRUNA</t>
        </is>
      </c>
      <c r="I25" t="n">
        <v>2.9</v>
      </c>
      <c r="J25" t="n">
        <v>0</v>
      </c>
      <c r="K25" t="n">
        <v>0</v>
      </c>
      <c r="L25" t="n">
        <v>0</v>
      </c>
      <c r="M25" t="n">
        <v>1</v>
      </c>
      <c r="N25" t="n">
        <v>0</v>
      </c>
      <c r="O25" t="n">
        <v>0</v>
      </c>
      <c r="P25" t="n">
        <v>0</v>
      </c>
      <c r="Q25" t="n">
        <v>1</v>
      </c>
      <c r="R25" t="n">
        <v>1</v>
      </c>
      <c r="S25" t="n">
        <v>1</v>
      </c>
      <c r="T25" t="n">
        <v>1</v>
      </c>
      <c r="U25" t="n">
        <v>0</v>
      </c>
      <c r="V25" s="2" t="inlineStr">
        <is>
          <t>Fjällsotlav</t>
        </is>
      </c>
      <c r="W25">
        <f>HYPERLINK("https://klasma.github.io/Logging_2584/artfynd/A 5842-2023 artfynd.xlsx", "A 5842-2023")</f>
        <v/>
      </c>
      <c r="X25">
        <f>HYPERLINK("https://klasma.github.io/Logging_2584/kartor/A 5842-2023 karta.png", "A 5842-2023")</f>
        <v/>
      </c>
      <c r="Y25">
        <f>HYPERLINK("https://klasma.github.io/Logging_2584/kartor_geotiff/A 5842-2023 georefererad karta.tif", "A 5842-2023")</f>
        <v/>
      </c>
      <c r="AA25">
        <f>HYPERLINK("https://klasma.github.io/Logging_2584/klagomål/A 5842-2023 FSC-klagomål.docx", "A 5842-2023")</f>
        <v/>
      </c>
      <c r="AB25">
        <f>HYPERLINK("https://klasma.github.io/Logging_2584/klagomålsmail/A 5842-2023 FSC-klagomål mail.docx", "A 5842-2023")</f>
        <v/>
      </c>
      <c r="AC25">
        <f>HYPERLINK("https://klasma.github.io/Logging_2584/tillsyn/A 5842-2023 tillsynsbegäran.docx", "A 5842-2023")</f>
        <v/>
      </c>
      <c r="AD25">
        <f>HYPERLINK("https://klasma.github.io/Logging_2584/tillsynsmail/A 5842-2023 tillsynsbegäran mail.docx", "A 5842-2023")</f>
        <v/>
      </c>
    </row>
    <row r="26" ht="15" customHeight="1">
      <c r="A26" t="inlineStr">
        <is>
          <t>A 4367-2024</t>
        </is>
      </c>
      <c r="B26" t="inlineStr">
        <is>
          <t>avverkningsanmälan</t>
        </is>
      </c>
      <c r="C26" t="inlineStr">
        <is>
          <t>Föryngringsavverkning</t>
        </is>
      </c>
      <c r="D26" s="1" t="n">
        <v>45326</v>
      </c>
      <c r="E26" s="1" t="n">
        <v>46269</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46269</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46269</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35757-2026</t>
        </is>
      </c>
      <c r="B29" t="inlineStr">
        <is>
          <t>avverkningsanmälan</t>
        </is>
      </c>
      <c r="C29" t="inlineStr">
        <is>
          <t>Föryngringsavverkning</t>
        </is>
      </c>
      <c r="D29" s="1" t="n">
        <v>46265</v>
      </c>
      <c r="E29" s="1" t="n">
        <v>46269</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46269</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46269</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46269</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46269</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46269</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46269</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18721-2024</t>
        </is>
      </c>
      <c r="B36" t="inlineStr">
        <is>
          <t>avverkningsanmälan</t>
        </is>
      </c>
      <c r="C36" t="inlineStr">
        <is>
          <t>Föryngringsavverkning</t>
        </is>
      </c>
      <c r="D36" s="1" t="n">
        <v>45426</v>
      </c>
      <c r="E36" s="1" t="n">
        <v>46269</v>
      </c>
      <c r="F36" t="inlineStr">
        <is>
          <t>NORRBOTTENS LÄN</t>
        </is>
      </c>
      <c r="G36" t="inlineStr">
        <is>
          <t>KIRUNA</t>
        </is>
      </c>
      <c r="I36" t="n">
        <v>62.1</v>
      </c>
      <c r="J36" t="n">
        <v>0</v>
      </c>
      <c r="K36" t="n">
        <v>0</v>
      </c>
      <c r="L36" t="n">
        <v>0</v>
      </c>
      <c r="M36" t="n">
        <v>0</v>
      </c>
      <c r="N36" t="n">
        <v>0</v>
      </c>
      <c r="O36" t="n">
        <v>0</v>
      </c>
      <c r="P36" t="n">
        <v>0</v>
      </c>
      <c r="Q36" t="n">
        <v>0</v>
      </c>
      <c r="R36" t="n">
        <v>0</v>
      </c>
      <c r="S36" t="n">
        <v>0</v>
      </c>
      <c r="T36" t="n">
        <v>0</v>
      </c>
      <c r="U36" t="n">
        <v>0</v>
      </c>
      <c r="V36" s="2" t="inlineStr"/>
    </row>
    <row r="37" ht="15" customHeight="1">
      <c r="A37" t="inlineStr">
        <is>
          <t>A 9068-2023</t>
        </is>
      </c>
      <c r="B37" t="inlineStr">
        <is>
          <t>avverkningsanmälan</t>
        </is>
      </c>
      <c r="C37" t="inlineStr">
        <is>
          <t>Föryngringsavverkning</t>
        </is>
      </c>
      <c r="D37" s="1" t="n">
        <v>44979</v>
      </c>
      <c r="E37" s="1" t="n">
        <v>46269</v>
      </c>
      <c r="F37" t="inlineStr">
        <is>
          <t>NORRBOTTENS LÄN</t>
        </is>
      </c>
      <c r="G37" t="inlineStr">
        <is>
          <t>KIRUNA</t>
        </is>
      </c>
      <c r="H37" t="inlineStr">
        <is>
          <t>SCA</t>
        </is>
      </c>
      <c r="I37" t="n">
        <v>4.6</v>
      </c>
      <c r="J37" t="n">
        <v>0</v>
      </c>
      <c r="K37" t="n">
        <v>0</v>
      </c>
      <c r="L37" t="n">
        <v>0</v>
      </c>
      <c r="M37" t="n">
        <v>0</v>
      </c>
      <c r="N37" t="n">
        <v>0</v>
      </c>
      <c r="O37" t="n">
        <v>0</v>
      </c>
      <c r="P37" t="n">
        <v>0</v>
      </c>
      <c r="Q37" t="n">
        <v>0</v>
      </c>
      <c r="R37" t="n">
        <v>0</v>
      </c>
      <c r="S37" t="n">
        <v>0</v>
      </c>
      <c r="T37" t="n">
        <v>0</v>
      </c>
      <c r="U37" t="n">
        <v>0</v>
      </c>
      <c r="V37" s="2" t="inlineStr"/>
    </row>
    <row r="38" ht="15" customHeight="1">
      <c r="A38" t="inlineStr">
        <is>
          <t>A 18738-2022</t>
        </is>
      </c>
      <c r="B38" t="inlineStr">
        <is>
          <t>avverkningsanmälan</t>
        </is>
      </c>
      <c r="C38" t="inlineStr">
        <is>
          <t>Avverkning för annat ändamål</t>
        </is>
      </c>
      <c r="D38" s="1" t="n">
        <v>44687</v>
      </c>
      <c r="E38" s="1" t="n">
        <v>46269</v>
      </c>
      <c r="F38" t="inlineStr">
        <is>
          <t>NORRBOTTENS LÄN</t>
        </is>
      </c>
      <c r="G38" t="inlineStr">
        <is>
          <t>KIRUNA</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46269</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23469-2022</t>
        </is>
      </c>
      <c r="B40" t="inlineStr">
        <is>
          <t>avverkningsanmälan</t>
        </is>
      </c>
      <c r="C40" t="inlineStr">
        <is>
          <t>Föryngringsavverkning</t>
        </is>
      </c>
      <c r="D40" s="1" t="n">
        <v>44721</v>
      </c>
      <c r="E40" s="1" t="n">
        <v>46269</v>
      </c>
      <c r="F40" t="inlineStr">
        <is>
          <t>NORRBOTTENS LÄN</t>
        </is>
      </c>
      <c r="G40" t="inlineStr">
        <is>
          <t>KIRUNA</t>
        </is>
      </c>
      <c r="I40" t="n">
        <v>11.8</v>
      </c>
      <c r="J40" t="n">
        <v>0</v>
      </c>
      <c r="K40" t="n">
        <v>0</v>
      </c>
      <c r="L40" t="n">
        <v>0</v>
      </c>
      <c r="M40" t="n">
        <v>0</v>
      </c>
      <c r="N40" t="n">
        <v>0</v>
      </c>
      <c r="O40" t="n">
        <v>0</v>
      </c>
      <c r="P40" t="n">
        <v>0</v>
      </c>
      <c r="Q40" t="n">
        <v>0</v>
      </c>
      <c r="R40" t="n">
        <v>0</v>
      </c>
      <c r="S40" t="n">
        <v>0</v>
      </c>
      <c r="T40" t="n">
        <v>0</v>
      </c>
      <c r="U40" t="n">
        <v>0</v>
      </c>
      <c r="V40" s="2" t="inlineStr"/>
    </row>
    <row r="41" ht="15" customHeight="1">
      <c r="A41" t="inlineStr">
        <is>
          <t>A 62452-2022</t>
        </is>
      </c>
      <c r="B41" t="inlineStr">
        <is>
          <t>avverkningsanmälan</t>
        </is>
      </c>
      <c r="C41" t="inlineStr">
        <is>
          <t>Föryngringsavverkning</t>
        </is>
      </c>
      <c r="D41" s="1" t="n">
        <v>44916</v>
      </c>
      <c r="E41" s="1" t="n">
        <v>46269</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46269</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47730-2024</t>
        </is>
      </c>
      <c r="B43" t="inlineStr">
        <is>
          <t>avverkningsanmälan</t>
        </is>
      </c>
      <c r="C43" t="inlineStr">
        <is>
          <t>Föryngringsavverkning</t>
        </is>
      </c>
      <c r="D43" s="1" t="n">
        <v>45588</v>
      </c>
      <c r="E43" s="1" t="n">
        <v>46269</v>
      </c>
      <c r="F43" t="inlineStr">
        <is>
          <t>NORRBOTTENS LÄN</t>
        </is>
      </c>
      <c r="G43" t="inlineStr">
        <is>
          <t>KIRUNA</t>
        </is>
      </c>
      <c r="H43" t="inlineStr">
        <is>
          <t>Allmännings- och besparingsskogar</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46269</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22494-2024</t>
        </is>
      </c>
      <c r="B45" t="inlineStr">
        <is>
          <t>avverkningsanmälan</t>
        </is>
      </c>
      <c r="C45" t="inlineStr">
        <is>
          <t>Föryngringsavverkning</t>
        </is>
      </c>
      <c r="D45" s="1" t="n">
        <v>45447</v>
      </c>
      <c r="E45" s="1" t="n">
        <v>46269</v>
      </c>
      <c r="F45" t="inlineStr">
        <is>
          <t>NORRBOTTENS LÄN</t>
        </is>
      </c>
      <c r="G45" t="inlineStr">
        <is>
          <t>KIRUNA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9069-2023</t>
        </is>
      </c>
      <c r="B46" t="inlineStr">
        <is>
          <t>avverkningsanmälan</t>
        </is>
      </c>
      <c r="C46" t="inlineStr">
        <is>
          <t>Föryngringsavverkning</t>
        </is>
      </c>
      <c r="D46" s="1" t="n">
        <v>44979</v>
      </c>
      <c r="E46" s="1" t="n">
        <v>46269</v>
      </c>
      <c r="F46" t="inlineStr">
        <is>
          <t>NORRBOTTENS LÄN</t>
        </is>
      </c>
      <c r="G46" t="inlineStr">
        <is>
          <t>KIRUNA</t>
        </is>
      </c>
      <c r="H46" t="inlineStr">
        <is>
          <t>SCA</t>
        </is>
      </c>
      <c r="I46" t="n">
        <v>4</v>
      </c>
      <c r="J46" t="n">
        <v>0</v>
      </c>
      <c r="K46" t="n">
        <v>0</v>
      </c>
      <c r="L46" t="n">
        <v>0</v>
      </c>
      <c r="M46" t="n">
        <v>0</v>
      </c>
      <c r="N46" t="n">
        <v>0</v>
      </c>
      <c r="O46" t="n">
        <v>0</v>
      </c>
      <c r="P46" t="n">
        <v>0</v>
      </c>
      <c r="Q46" t="n">
        <v>0</v>
      </c>
      <c r="R46" t="n">
        <v>0</v>
      </c>
      <c r="S46" t="n">
        <v>0</v>
      </c>
      <c r="T46" t="n">
        <v>0</v>
      </c>
      <c r="U46" t="n">
        <v>0</v>
      </c>
      <c r="V46" s="2" t="inlineStr"/>
    </row>
    <row r="47" ht="15" customHeight="1">
      <c r="A47" t="inlineStr">
        <is>
          <t>A 34664-2025</t>
        </is>
      </c>
      <c r="B47" t="inlineStr">
        <is>
          <t>avverkningsanmälan</t>
        </is>
      </c>
      <c r="C47" t="inlineStr">
        <is>
          <t>Föryngringsavverkning</t>
        </is>
      </c>
      <c r="D47" s="1" t="n">
        <v>45848</v>
      </c>
      <c r="E47" s="1" t="n">
        <v>46269</v>
      </c>
      <c r="F47" t="inlineStr">
        <is>
          <t>NORRBOTTENS LÄN</t>
        </is>
      </c>
      <c r="G47" t="inlineStr">
        <is>
          <t>KIRUNA</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34663-2025</t>
        </is>
      </c>
      <c r="B48" t="inlineStr">
        <is>
          <t>avverkningsanmälan</t>
        </is>
      </c>
      <c r="C48" t="inlineStr">
        <is>
          <t>Föryngringsavverkning</t>
        </is>
      </c>
      <c r="D48" s="1" t="n">
        <v>45848</v>
      </c>
      <c r="E48" s="1" t="n">
        <v>46269</v>
      </c>
      <c r="F48" t="inlineStr">
        <is>
          <t>NORRBOTTENS LÄN</t>
        </is>
      </c>
      <c r="G48" t="inlineStr">
        <is>
          <t>KIRUNA</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62439-2022</t>
        </is>
      </c>
      <c r="B49" t="inlineStr">
        <is>
          <t>avverkningsanmälan</t>
        </is>
      </c>
      <c r="C49" t="inlineStr">
        <is>
          <t>Föryngringsavverkning</t>
        </is>
      </c>
      <c r="D49" s="1" t="n">
        <v>44916</v>
      </c>
      <c r="E49" s="1" t="n">
        <v>46269</v>
      </c>
      <c r="F49" t="inlineStr">
        <is>
          <t>NORRBOTTENS LÄN</t>
        </is>
      </c>
      <c r="G49" t="inlineStr">
        <is>
          <t>KIRUNA</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22504-2024</t>
        </is>
      </c>
      <c r="B50" t="inlineStr">
        <is>
          <t>avverkningsanmälan</t>
        </is>
      </c>
      <c r="C50" t="inlineStr">
        <is>
          <t>Föryngringsavverkning</t>
        </is>
      </c>
      <c r="D50" s="1" t="n">
        <v>45447</v>
      </c>
      <c r="E50" s="1" t="n">
        <v>46269</v>
      </c>
      <c r="F50" t="inlineStr">
        <is>
          <t>NORRBOTTENS LÄN</t>
        </is>
      </c>
      <c r="G50" t="inlineStr">
        <is>
          <t>KIRUNA</t>
        </is>
      </c>
      <c r="I50" t="n">
        <v>15.6</v>
      </c>
      <c r="J50" t="n">
        <v>0</v>
      </c>
      <c r="K50" t="n">
        <v>0</v>
      </c>
      <c r="L50" t="n">
        <v>0</v>
      </c>
      <c r="M50" t="n">
        <v>0</v>
      </c>
      <c r="N50" t="n">
        <v>0</v>
      </c>
      <c r="O50" t="n">
        <v>0</v>
      </c>
      <c r="P50" t="n">
        <v>0</v>
      </c>
      <c r="Q50" t="n">
        <v>0</v>
      </c>
      <c r="R50" t="n">
        <v>0</v>
      </c>
      <c r="S50" t="n">
        <v>0</v>
      </c>
      <c r="T50" t="n">
        <v>0</v>
      </c>
      <c r="U50" t="n">
        <v>0</v>
      </c>
      <c r="V50" s="2" t="inlineStr"/>
    </row>
    <row r="51" ht="15" customHeight="1">
      <c r="A51" t="inlineStr">
        <is>
          <t>A 5476-2024</t>
        </is>
      </c>
      <c r="B51" t="inlineStr">
        <is>
          <t>avverkningsanmälan</t>
        </is>
      </c>
      <c r="C51" t="inlineStr">
        <is>
          <t>Föryngringsavverkning</t>
        </is>
      </c>
      <c r="D51" s="1" t="n">
        <v>45333</v>
      </c>
      <c r="E51" s="1" t="n">
        <v>46269</v>
      </c>
      <c r="F51" t="inlineStr">
        <is>
          <t>NORRBOTTENS LÄN</t>
        </is>
      </c>
      <c r="G51" t="inlineStr">
        <is>
          <t>KIRUNA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28707-2022</t>
        </is>
      </c>
      <c r="B52" t="inlineStr">
        <is>
          <t>avverkningsanmälan</t>
        </is>
      </c>
      <c r="C52" t="inlineStr">
        <is>
          <t>Föryngringsavverkning</t>
        </is>
      </c>
      <c r="D52" s="1" t="n">
        <v>44748</v>
      </c>
      <c r="E52" s="1" t="n">
        <v>46269</v>
      </c>
      <c r="F52" t="inlineStr">
        <is>
          <t>NORRBOTTENS LÄN</t>
        </is>
      </c>
      <c r="G52" t="inlineStr">
        <is>
          <t>KIRUNA</t>
        </is>
      </c>
      <c r="I52" t="n">
        <v>15.2</v>
      </c>
      <c r="J52" t="n">
        <v>0</v>
      </c>
      <c r="K52" t="n">
        <v>0</v>
      </c>
      <c r="L52" t="n">
        <v>0</v>
      </c>
      <c r="M52" t="n">
        <v>0</v>
      </c>
      <c r="N52" t="n">
        <v>0</v>
      </c>
      <c r="O52" t="n">
        <v>0</v>
      </c>
      <c r="P52" t="n">
        <v>0</v>
      </c>
      <c r="Q52" t="n">
        <v>0</v>
      </c>
      <c r="R52" t="n">
        <v>0</v>
      </c>
      <c r="S52" t="n">
        <v>0</v>
      </c>
      <c r="T52" t="n">
        <v>0</v>
      </c>
      <c r="U52" t="n">
        <v>0</v>
      </c>
      <c r="V52" s="2" t="inlineStr"/>
    </row>
    <row r="53" ht="15" customHeight="1">
      <c r="A53" t="inlineStr">
        <is>
          <t>A 39006-2023</t>
        </is>
      </c>
      <c r="B53" t="inlineStr">
        <is>
          <t>avverkningsanmälan</t>
        </is>
      </c>
      <c r="C53" t="inlineStr">
        <is>
          <t>Avverkning för annat ändamål</t>
        </is>
      </c>
      <c r="D53" s="1" t="n">
        <v>45162</v>
      </c>
      <c r="E53" s="1" t="n">
        <v>46269</v>
      </c>
      <c r="F53" t="inlineStr">
        <is>
          <t>NORRBOTTENS LÄN</t>
        </is>
      </c>
      <c r="G53" t="inlineStr">
        <is>
          <t>KIRUNA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39271-2023</t>
        </is>
      </c>
      <c r="B54" t="inlineStr">
        <is>
          <t>avverkningsanmälan</t>
        </is>
      </c>
      <c r="C54" t="inlineStr">
        <is>
          <t>Föryngringsavverkning</t>
        </is>
      </c>
      <c r="D54" s="1" t="n">
        <v>45162</v>
      </c>
      <c r="E54" s="1" t="n">
        <v>46269</v>
      </c>
      <c r="F54" t="inlineStr">
        <is>
          <t>NORRBOTTENS LÄN</t>
        </is>
      </c>
      <c r="G54" t="inlineStr">
        <is>
          <t>KIRUNA</t>
        </is>
      </c>
      <c r="I54" t="n">
        <v>51.9</v>
      </c>
      <c r="J54" t="n">
        <v>0</v>
      </c>
      <c r="K54" t="n">
        <v>0</v>
      </c>
      <c r="L54" t="n">
        <v>0</v>
      </c>
      <c r="M54" t="n">
        <v>0</v>
      </c>
      <c r="N54" t="n">
        <v>0</v>
      </c>
      <c r="O54" t="n">
        <v>0</v>
      </c>
      <c r="P54" t="n">
        <v>0</v>
      </c>
      <c r="Q54" t="n">
        <v>0</v>
      </c>
      <c r="R54" t="n">
        <v>0</v>
      </c>
      <c r="S54" t="n">
        <v>0</v>
      </c>
      <c r="T54" t="n">
        <v>0</v>
      </c>
      <c r="U54" t="n">
        <v>0</v>
      </c>
      <c r="V54" s="2" t="inlineStr"/>
    </row>
    <row r="55" ht="15" customHeight="1">
      <c r="A55" t="inlineStr">
        <is>
          <t>A 93-2024</t>
        </is>
      </c>
      <c r="B55" t="inlineStr">
        <is>
          <t>avverkningsanmälan</t>
        </is>
      </c>
      <c r="C55" t="inlineStr">
        <is>
          <t>Avverkning för annat ändamål</t>
        </is>
      </c>
      <c r="D55" s="1" t="n">
        <v>45293</v>
      </c>
      <c r="E55" s="1" t="n">
        <v>46269</v>
      </c>
      <c r="F55" t="inlineStr">
        <is>
          <t>NORRBOTTENS LÄN</t>
        </is>
      </c>
      <c r="G55" t="inlineStr">
        <is>
          <t>KIRUNA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38577-2024</t>
        </is>
      </c>
      <c r="B56" t="inlineStr">
        <is>
          <t>avverkningsanmälan</t>
        </is>
      </c>
      <c r="C56" t="inlineStr">
        <is>
          <t>Föryngringsavverkning</t>
        </is>
      </c>
      <c r="D56" s="1" t="n">
        <v>45546</v>
      </c>
      <c r="E56" s="1" t="n">
        <v>46269</v>
      </c>
      <c r="F56" t="inlineStr">
        <is>
          <t>NORRBOTTENS LÄN</t>
        </is>
      </c>
      <c r="G56" t="inlineStr">
        <is>
          <t>KIRUNA</t>
        </is>
      </c>
      <c r="I56" t="n">
        <v>39.8</v>
      </c>
      <c r="J56" t="n">
        <v>0</v>
      </c>
      <c r="K56" t="n">
        <v>0</v>
      </c>
      <c r="L56" t="n">
        <v>0</v>
      </c>
      <c r="M56" t="n">
        <v>0</v>
      </c>
      <c r="N56" t="n">
        <v>0</v>
      </c>
      <c r="O56" t="n">
        <v>0</v>
      </c>
      <c r="P56" t="n">
        <v>0</v>
      </c>
      <c r="Q56" t="n">
        <v>0</v>
      </c>
      <c r="R56" t="n">
        <v>0</v>
      </c>
      <c r="S56" t="n">
        <v>0</v>
      </c>
      <c r="T56" t="n">
        <v>0</v>
      </c>
      <c r="U56" t="n">
        <v>0</v>
      </c>
      <c r="V56" s="2" t="inlineStr"/>
    </row>
    <row r="57" ht="15" customHeight="1">
      <c r="A57" t="inlineStr">
        <is>
          <t>A 13526-2024</t>
        </is>
      </c>
      <c r="B57" t="inlineStr">
        <is>
          <t>avverkningsanmälan</t>
        </is>
      </c>
      <c r="C57" t="inlineStr">
        <is>
          <t>Föryngringsavverkning</t>
        </is>
      </c>
      <c r="D57" s="1" t="n">
        <v>45387</v>
      </c>
      <c r="E57" s="1" t="n">
        <v>46269</v>
      </c>
      <c r="F57" t="inlineStr">
        <is>
          <t>NORRBOTTENS LÄN</t>
        </is>
      </c>
      <c r="G57" t="inlineStr">
        <is>
          <t>KIRUNA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39247-2023</t>
        </is>
      </c>
      <c r="B58" t="inlineStr">
        <is>
          <t>avverkningsanmälan</t>
        </is>
      </c>
      <c r="C58" t="inlineStr">
        <is>
          <t>Föryngringsavverkning</t>
        </is>
      </c>
      <c r="D58" s="1" t="n">
        <v>45162</v>
      </c>
      <c r="E58" s="1" t="n">
        <v>46269</v>
      </c>
      <c r="F58" t="inlineStr">
        <is>
          <t>NORRBOTTENS LÄN</t>
        </is>
      </c>
      <c r="G58" t="inlineStr">
        <is>
          <t>KIRUNA</t>
        </is>
      </c>
      <c r="I58" t="n">
        <v>11.7</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46269</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50338-2025</t>
        </is>
      </c>
      <c r="B60" t="inlineStr">
        <is>
          <t>avverkningsanmälan</t>
        </is>
      </c>
      <c r="C60" t="inlineStr">
        <is>
          <t>Föryngringsavverkning</t>
        </is>
      </c>
      <c r="D60" s="1" t="n">
        <v>45944</v>
      </c>
      <c r="E60" s="1" t="n">
        <v>46269</v>
      </c>
      <c r="F60" t="inlineStr">
        <is>
          <t>NORRBOTTENS LÄN</t>
        </is>
      </c>
      <c r="G60" t="inlineStr">
        <is>
          <t>KIRUNA</t>
        </is>
      </c>
      <c r="H60" t="inlineStr">
        <is>
          <t>SCA</t>
        </is>
      </c>
      <c r="I60" t="n">
        <v>22.6</v>
      </c>
      <c r="J60" t="n">
        <v>0</v>
      </c>
      <c r="K60" t="n">
        <v>0</v>
      </c>
      <c r="L60" t="n">
        <v>0</v>
      </c>
      <c r="M60" t="n">
        <v>0</v>
      </c>
      <c r="N60" t="n">
        <v>0</v>
      </c>
      <c r="O60" t="n">
        <v>0</v>
      </c>
      <c r="P60" t="n">
        <v>0</v>
      </c>
      <c r="Q60" t="n">
        <v>0</v>
      </c>
      <c r="R60" t="n">
        <v>0</v>
      </c>
      <c r="S60" t="n">
        <v>0</v>
      </c>
      <c r="T60" t="n">
        <v>0</v>
      </c>
      <c r="U60" t="n">
        <v>0</v>
      </c>
      <c r="V60" s="2" t="inlineStr"/>
    </row>
    <row r="61" ht="15" customHeight="1">
      <c r="A61" t="inlineStr">
        <is>
          <t>A 21184-2025</t>
        </is>
      </c>
      <c r="B61" t="inlineStr">
        <is>
          <t>avverkningsanmälan</t>
        </is>
      </c>
      <c r="C61" t="inlineStr">
        <is>
          <t>Föryngringsavverkning</t>
        </is>
      </c>
      <c r="D61" s="1" t="n">
        <v>45777</v>
      </c>
      <c r="E61" s="1" t="n">
        <v>46269</v>
      </c>
      <c r="F61" t="inlineStr">
        <is>
          <t>NORRBOTTENS LÄN</t>
        </is>
      </c>
      <c r="G61" t="inlineStr">
        <is>
          <t>KIRUNA</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20893-2025</t>
        </is>
      </c>
      <c r="B62" t="inlineStr">
        <is>
          <t>avverkningsanmälan</t>
        </is>
      </c>
      <c r="C62" t="inlineStr">
        <is>
          <t>Föryngringsavverkning</t>
        </is>
      </c>
      <c r="D62" s="1" t="n">
        <v>45776</v>
      </c>
      <c r="E62" s="1" t="n">
        <v>46269</v>
      </c>
      <c r="F62" t="inlineStr">
        <is>
          <t>NORRBOTTENS LÄN</t>
        </is>
      </c>
      <c r="G62" t="inlineStr">
        <is>
          <t>KIRUNA</t>
        </is>
      </c>
      <c r="I62" t="n">
        <v>27.3</v>
      </c>
      <c r="J62" t="n">
        <v>0</v>
      </c>
      <c r="K62" t="n">
        <v>0</v>
      </c>
      <c r="L62" t="n">
        <v>0</v>
      </c>
      <c r="M62" t="n">
        <v>0</v>
      </c>
      <c r="N62" t="n">
        <v>0</v>
      </c>
      <c r="O62" t="n">
        <v>0</v>
      </c>
      <c r="P62" t="n">
        <v>0</v>
      </c>
      <c r="Q62" t="n">
        <v>0</v>
      </c>
      <c r="R62" t="n">
        <v>0</v>
      </c>
      <c r="S62" t="n">
        <v>0</v>
      </c>
      <c r="T62" t="n">
        <v>0</v>
      </c>
      <c r="U62" t="n">
        <v>0</v>
      </c>
      <c r="V62" s="2" t="inlineStr"/>
    </row>
    <row r="63" ht="15" customHeight="1">
      <c r="A63" t="inlineStr">
        <is>
          <t>A 49704-2024</t>
        </is>
      </c>
      <c r="B63" t="inlineStr">
        <is>
          <t>avverkningsanmälan</t>
        </is>
      </c>
      <c r="C63" t="inlineStr">
        <is>
          <t>Föryngringsavverkning</t>
        </is>
      </c>
      <c r="D63" s="1" t="n">
        <v>45596</v>
      </c>
      <c r="E63" s="1" t="n">
        <v>46269</v>
      </c>
      <c r="F63" t="inlineStr">
        <is>
          <t>NORRBOTTENS LÄN</t>
        </is>
      </c>
      <c r="G63" t="inlineStr">
        <is>
          <t>KIRUNA</t>
        </is>
      </c>
      <c r="I63" t="n">
        <v>17.4</v>
      </c>
      <c r="J63" t="n">
        <v>0</v>
      </c>
      <c r="K63" t="n">
        <v>0</v>
      </c>
      <c r="L63" t="n">
        <v>0</v>
      </c>
      <c r="M63" t="n">
        <v>0</v>
      </c>
      <c r="N63" t="n">
        <v>0</v>
      </c>
      <c r="O63" t="n">
        <v>0</v>
      </c>
      <c r="P63" t="n">
        <v>0</v>
      </c>
      <c r="Q63" t="n">
        <v>0</v>
      </c>
      <c r="R63" t="n">
        <v>0</v>
      </c>
      <c r="S63" t="n">
        <v>0</v>
      </c>
      <c r="T63" t="n">
        <v>0</v>
      </c>
      <c r="U63" t="n">
        <v>0</v>
      </c>
      <c r="V63" s="2" t="inlineStr"/>
    </row>
    <row r="64" ht="15" customHeight="1">
      <c r="A64" t="inlineStr">
        <is>
          <t>A 22491-2024</t>
        </is>
      </c>
      <c r="B64" t="inlineStr">
        <is>
          <t>avverkningsanmälan</t>
        </is>
      </c>
      <c r="C64" t="inlineStr">
        <is>
          <t>Föryngringsavverkning</t>
        </is>
      </c>
      <c r="D64" s="1" t="n">
        <v>45447</v>
      </c>
      <c r="E64" s="1" t="n">
        <v>46269</v>
      </c>
      <c r="F64" t="inlineStr">
        <is>
          <t>NORRBOTTENS LÄN</t>
        </is>
      </c>
      <c r="G64" t="inlineStr">
        <is>
          <t>KIRUNA</t>
        </is>
      </c>
      <c r="I64" t="n">
        <v>9</v>
      </c>
      <c r="J64" t="n">
        <v>0</v>
      </c>
      <c r="K64" t="n">
        <v>0</v>
      </c>
      <c r="L64" t="n">
        <v>0</v>
      </c>
      <c r="M64" t="n">
        <v>0</v>
      </c>
      <c r="N64" t="n">
        <v>0</v>
      </c>
      <c r="O64" t="n">
        <v>0</v>
      </c>
      <c r="P64" t="n">
        <v>0</v>
      </c>
      <c r="Q64" t="n">
        <v>0</v>
      </c>
      <c r="R64" t="n">
        <v>0</v>
      </c>
      <c r="S64" t="n">
        <v>0</v>
      </c>
      <c r="T64" t="n">
        <v>0</v>
      </c>
      <c r="U64" t="n">
        <v>0</v>
      </c>
      <c r="V64" s="2" t="inlineStr"/>
    </row>
    <row r="65" ht="15" customHeight="1">
      <c r="A65" t="inlineStr">
        <is>
          <t>A 148-2026</t>
        </is>
      </c>
      <c r="B65" t="inlineStr">
        <is>
          <t>avverkningsanmälan</t>
        </is>
      </c>
      <c r="C65" t="inlineStr">
        <is>
          <t>Föryngringsavverkning</t>
        </is>
      </c>
      <c r="D65" s="1" t="n">
        <v>46024</v>
      </c>
      <c r="E65" s="1" t="n">
        <v>46269</v>
      </c>
      <c r="F65" t="inlineStr">
        <is>
          <t>NORRBOTTENS LÄN</t>
        </is>
      </c>
      <c r="G65" t="inlineStr">
        <is>
          <t>KIRUNA</t>
        </is>
      </c>
      <c r="I65" t="n">
        <v>10.2</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46269</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2664-2026</t>
        </is>
      </c>
      <c r="B67" t="inlineStr">
        <is>
          <t>avverkningsanmälan</t>
        </is>
      </c>
      <c r="C67" t="inlineStr">
        <is>
          <t>Föryngringsavverkning</t>
        </is>
      </c>
      <c r="D67" s="1" t="n">
        <v>46037</v>
      </c>
      <c r="E67" s="1" t="n">
        <v>46269</v>
      </c>
      <c r="F67" t="inlineStr">
        <is>
          <t>NORRBOTTENS LÄN</t>
        </is>
      </c>
      <c r="G67" t="inlineStr">
        <is>
          <t>KIRUNA</t>
        </is>
      </c>
      <c r="I67" t="n">
        <v>31.3</v>
      </c>
      <c r="J67" t="n">
        <v>0</v>
      </c>
      <c r="K67" t="n">
        <v>0</v>
      </c>
      <c r="L67" t="n">
        <v>0</v>
      </c>
      <c r="M67" t="n">
        <v>0</v>
      </c>
      <c r="N67" t="n">
        <v>0</v>
      </c>
      <c r="O67" t="n">
        <v>0</v>
      </c>
      <c r="P67" t="n">
        <v>0</v>
      </c>
      <c r="Q67" t="n">
        <v>0</v>
      </c>
      <c r="R67" t="n">
        <v>0</v>
      </c>
      <c r="S67" t="n">
        <v>0</v>
      </c>
      <c r="T67" t="n">
        <v>0</v>
      </c>
      <c r="U67" t="n">
        <v>0</v>
      </c>
      <c r="V67" s="2" t="inlineStr"/>
    </row>
    <row r="68" ht="15" customHeight="1">
      <c r="A68" t="inlineStr">
        <is>
          <t>A 29167-2026</t>
        </is>
      </c>
      <c r="B68" t="inlineStr">
        <is>
          <t>avverkningsanmälan</t>
        </is>
      </c>
      <c r="C68" t="inlineStr">
        <is>
          <t>Föryngringsavverkning</t>
        </is>
      </c>
      <c r="D68" s="1" t="n">
        <v>46202</v>
      </c>
      <c r="E68" s="1" t="n">
        <v>46269</v>
      </c>
      <c r="F68" t="inlineStr">
        <is>
          <t>NORRBOTTENS LÄN</t>
        </is>
      </c>
      <c r="G68" t="inlineStr">
        <is>
          <t>KIRUNA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29048-2026</t>
        </is>
      </c>
      <c r="B69" t="inlineStr">
        <is>
          <t>avverkningsanmälan</t>
        </is>
      </c>
      <c r="C69" t="inlineStr">
        <is>
          <t>Föryngringsavverkning</t>
        </is>
      </c>
      <c r="D69" s="1" t="n">
        <v>46199</v>
      </c>
      <c r="E69" s="1" t="n">
        <v>46269</v>
      </c>
      <c r="F69" t="inlineStr">
        <is>
          <t>NORRBOTTENS LÄN</t>
        </is>
      </c>
      <c r="G69" t="inlineStr">
        <is>
          <t>KIRUNA</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29231-2026</t>
        </is>
      </c>
      <c r="B70" t="inlineStr">
        <is>
          <t>avverkningsanmälan</t>
        </is>
      </c>
      <c r="C70" t="inlineStr">
        <is>
          <t>Föryngringsavverkning</t>
        </is>
      </c>
      <c r="D70" s="1" t="n">
        <v>46202</v>
      </c>
      <c r="E70" s="1" t="n">
        <v>46269</v>
      </c>
      <c r="F70" t="inlineStr">
        <is>
          <t>NORRBOTTENS LÄN</t>
        </is>
      </c>
      <c r="G70" t="inlineStr">
        <is>
          <t>KIRUNA</t>
        </is>
      </c>
      <c r="I70" t="n">
        <v>10.7</v>
      </c>
      <c r="J70" t="n">
        <v>0</v>
      </c>
      <c r="K70" t="n">
        <v>0</v>
      </c>
      <c r="L70" t="n">
        <v>0</v>
      </c>
      <c r="M70" t="n">
        <v>0</v>
      </c>
      <c r="N70" t="n">
        <v>0</v>
      </c>
      <c r="O70" t="n">
        <v>0</v>
      </c>
      <c r="P70" t="n">
        <v>0</v>
      </c>
      <c r="Q70" t="n">
        <v>0</v>
      </c>
      <c r="R70" t="n">
        <v>0</v>
      </c>
      <c r="S70" t="n">
        <v>0</v>
      </c>
      <c r="T70" t="n">
        <v>0</v>
      </c>
      <c r="U70" t="n">
        <v>0</v>
      </c>
      <c r="V70" s="2" t="inlineStr"/>
    </row>
    <row r="71" ht="15" customHeight="1">
      <c r="A71" t="inlineStr">
        <is>
          <t>A 30562-2026</t>
        </is>
      </c>
      <c r="B71" t="inlineStr">
        <is>
          <t>avverkningsanmälan</t>
        </is>
      </c>
      <c r="C71" t="inlineStr">
        <is>
          <t>Föryngringsavverkning</t>
        </is>
      </c>
      <c r="D71" s="1" t="n">
        <v>46210</v>
      </c>
      <c r="E71" s="1" t="n">
        <v>46269</v>
      </c>
      <c r="F71" t="inlineStr">
        <is>
          <t>NORRBOTTENS LÄN</t>
        </is>
      </c>
      <c r="G71" t="inlineStr">
        <is>
          <t>KIRUNA</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34693-2022</t>
        </is>
      </c>
      <c r="B72" t="inlineStr">
        <is>
          <t>avverkningsanmälan</t>
        </is>
      </c>
      <c r="C72" t="inlineStr">
        <is>
          <t>Föryngringsavverkning</t>
        </is>
      </c>
      <c r="D72" s="1" t="n">
        <v>44795</v>
      </c>
      <c r="E72" s="1" t="n">
        <v>46269</v>
      </c>
      <c r="F72" t="inlineStr">
        <is>
          <t>NORRBOTTENS LÄN</t>
        </is>
      </c>
      <c r="G72" t="inlineStr">
        <is>
          <t>KIRUNA</t>
        </is>
      </c>
      <c r="I72" t="n">
        <v>12.3</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46269</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46269</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28533-2026</t>
        </is>
      </c>
      <c r="B75" t="inlineStr">
        <is>
          <t>avverkningsanmälan</t>
        </is>
      </c>
      <c r="C75" t="inlineStr">
        <is>
          <t>Föryngringsavverkning</t>
        </is>
      </c>
      <c r="D75" s="1" t="n">
        <v>46197</v>
      </c>
      <c r="E75" s="1" t="n">
        <v>46269</v>
      </c>
      <c r="F75" t="inlineStr">
        <is>
          <t>NORRBOTTENS LÄN</t>
        </is>
      </c>
      <c r="G75" t="inlineStr">
        <is>
          <t>KIRUNA</t>
        </is>
      </c>
      <c r="I75" t="n">
        <v>54.2</v>
      </c>
      <c r="J75" t="n">
        <v>0</v>
      </c>
      <c r="K75" t="n">
        <v>0</v>
      </c>
      <c r="L75" t="n">
        <v>0</v>
      </c>
      <c r="M75" t="n">
        <v>0</v>
      </c>
      <c r="N75" t="n">
        <v>0</v>
      </c>
      <c r="O75" t="n">
        <v>0</v>
      </c>
      <c r="P75" t="n">
        <v>0</v>
      </c>
      <c r="Q75" t="n">
        <v>0</v>
      </c>
      <c r="R75" t="n">
        <v>0</v>
      </c>
      <c r="S75" t="n">
        <v>0</v>
      </c>
      <c r="T75" t="n">
        <v>0</v>
      </c>
      <c r="U75" t="n">
        <v>0</v>
      </c>
      <c r="V75" s="2" t="inlineStr"/>
    </row>
    <row r="76" ht="15" customHeight="1">
      <c r="A76" t="inlineStr">
        <is>
          <t>A 13405-2026</t>
        </is>
      </c>
      <c r="B76" t="inlineStr">
        <is>
          <t>avverkningsanmälan</t>
        </is>
      </c>
      <c r="C76" t="inlineStr">
        <is>
          <t>Föryngringsavverkning</t>
        </is>
      </c>
      <c r="D76" s="1" t="n">
        <v>46094</v>
      </c>
      <c r="E76" s="1" t="n">
        <v>46269</v>
      </c>
      <c r="F76" t="inlineStr">
        <is>
          <t>NORRBOTTENS LÄN</t>
        </is>
      </c>
      <c r="G76" t="inlineStr">
        <is>
          <t>KIRUNA</t>
        </is>
      </c>
      <c r="I76" t="n">
        <v>24.5</v>
      </c>
      <c r="J76" t="n">
        <v>0</v>
      </c>
      <c r="K76" t="n">
        <v>0</v>
      </c>
      <c r="L76" t="n">
        <v>0</v>
      </c>
      <c r="M76" t="n">
        <v>0</v>
      </c>
      <c r="N76" t="n">
        <v>0</v>
      </c>
      <c r="O76" t="n">
        <v>0</v>
      </c>
      <c r="P76" t="n">
        <v>0</v>
      </c>
      <c r="Q76" t="n">
        <v>0</v>
      </c>
      <c r="R76" t="n">
        <v>0</v>
      </c>
      <c r="S76" t="n">
        <v>0</v>
      </c>
      <c r="T76" t="n">
        <v>0</v>
      </c>
      <c r="U76" t="n">
        <v>0</v>
      </c>
      <c r="V76" s="2" t="inlineStr"/>
    </row>
    <row r="77" ht="15" customHeight="1">
      <c r="A77" t="inlineStr">
        <is>
          <t>A 35765-2026</t>
        </is>
      </c>
      <c r="B77" t="inlineStr">
        <is>
          <t>avverkningsanmälan</t>
        </is>
      </c>
      <c r="C77" t="inlineStr">
        <is>
          <t>Föryngringsavverkning</t>
        </is>
      </c>
      <c r="D77" s="1" t="n">
        <v>46265</v>
      </c>
      <c r="E77" s="1" t="n">
        <v>46269</v>
      </c>
      <c r="F77" t="inlineStr">
        <is>
          <t>NORRBOTTENS LÄN</t>
        </is>
      </c>
      <c r="G77" t="inlineStr">
        <is>
          <t>KIRUNA</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21268-2026</t>
        </is>
      </c>
      <c r="B78" t="inlineStr">
        <is>
          <t>avverkningsanmälan</t>
        </is>
      </c>
      <c r="C78" t="inlineStr">
        <is>
          <t>Föryngringsavverkning</t>
        </is>
      </c>
      <c r="D78" s="1" t="n">
        <v>46147</v>
      </c>
      <c r="E78" s="1" t="n">
        <v>46269</v>
      </c>
      <c r="F78" t="inlineStr">
        <is>
          <t>NORRBOTTENS LÄN</t>
        </is>
      </c>
      <c r="G78" t="inlineStr">
        <is>
          <t>KIRUNA</t>
        </is>
      </c>
      <c r="I78" t="n">
        <v>35.7</v>
      </c>
      <c r="J78" t="n">
        <v>0</v>
      </c>
      <c r="K78" t="n">
        <v>0</v>
      </c>
      <c r="L78" t="n">
        <v>0</v>
      </c>
      <c r="M78" t="n">
        <v>0</v>
      </c>
      <c r="N78" t="n">
        <v>0</v>
      </c>
      <c r="O78" t="n">
        <v>0</v>
      </c>
      <c r="P78" t="n">
        <v>0</v>
      </c>
      <c r="Q78" t="n">
        <v>0</v>
      </c>
      <c r="R78" t="n">
        <v>0</v>
      </c>
      <c r="S78" t="n">
        <v>0</v>
      </c>
      <c r="T78" t="n">
        <v>0</v>
      </c>
      <c r="U78" t="n">
        <v>0</v>
      </c>
      <c r="V78" s="2" t="inlineStr"/>
    </row>
    <row r="79" ht="15" customHeight="1">
      <c r="A79" t="inlineStr">
        <is>
          <t>A 16197-2026</t>
        </is>
      </c>
      <c r="B79" t="inlineStr">
        <is>
          <t>avverkningsanmälan</t>
        </is>
      </c>
      <c r="C79" t="inlineStr">
        <is>
          <t>Avverkning för annat ändamål</t>
        </is>
      </c>
      <c r="D79" s="1" t="n">
        <v>46108</v>
      </c>
      <c r="E79" s="1" t="n">
        <v>46269</v>
      </c>
      <c r="F79" t="inlineStr">
        <is>
          <t>NORRBOTTENS LÄN</t>
        </is>
      </c>
      <c r="G79" t="inlineStr">
        <is>
          <t>KIRUNA</t>
        </is>
      </c>
      <c r="H79" t="inlineStr">
        <is>
          <t>Övriga statliga verk och myndigheter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5533-2024</t>
        </is>
      </c>
      <c r="B80" t="inlineStr">
        <is>
          <t>avverkningsanmälan</t>
        </is>
      </c>
      <c r="C80" t="inlineStr">
        <is>
          <t>Avverkning för annat ändamål</t>
        </is>
      </c>
      <c r="D80" s="1" t="n">
        <v>45334</v>
      </c>
      <c r="E80" s="1" t="n">
        <v>46269</v>
      </c>
      <c r="F80" t="inlineStr">
        <is>
          <t>NORRBOTTENS LÄN</t>
        </is>
      </c>
      <c r="G80" t="inlineStr">
        <is>
          <t>KIRUNA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56168-2023</t>
        </is>
      </c>
      <c r="B81" t="inlineStr">
        <is>
          <t>avverkningsanmälan</t>
        </is>
      </c>
      <c r="C81" t="inlineStr">
        <is>
          <t>Avverkning för annat ändamål</t>
        </is>
      </c>
      <c r="D81" s="1" t="n">
        <v>45236</v>
      </c>
      <c r="E81" s="1" t="n">
        <v>46269</v>
      </c>
      <c r="F81" t="inlineStr">
        <is>
          <t>NORRBOTTENS LÄN</t>
        </is>
      </c>
      <c r="G81" t="inlineStr">
        <is>
          <t>KIRUNA</t>
        </is>
      </c>
      <c r="H81" t="inlineStr">
        <is>
          <t>Sveaskog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8350-2025</t>
        </is>
      </c>
      <c r="B82" t="inlineStr">
        <is>
          <t>avverkningsanmälan</t>
        </is>
      </c>
      <c r="C82" t="inlineStr">
        <is>
          <t>Avverkning för annat ändamål</t>
        </is>
      </c>
      <c r="D82" s="1" t="n">
        <v>45708</v>
      </c>
      <c r="E82" s="1" t="n">
        <v>46269</v>
      </c>
      <c r="F82" t="inlineStr">
        <is>
          <t>NORRBOTTENS LÄN</t>
        </is>
      </c>
      <c r="G82" t="inlineStr">
        <is>
          <t>KIRUNA</t>
        </is>
      </c>
      <c r="H82" t="inlineStr">
        <is>
          <t>Övriga statliga verk och myndigheter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18388-2026</t>
        </is>
      </c>
      <c r="B83" t="inlineStr">
        <is>
          <t>avverkningsanmälan</t>
        </is>
      </c>
      <c r="C83" t="inlineStr">
        <is>
          <t>Föryngringsavverkning</t>
        </is>
      </c>
      <c r="D83" s="1" t="n">
        <v>46126</v>
      </c>
      <c r="E83" s="1" t="n">
        <v>46269</v>
      </c>
      <c r="F83" t="inlineStr">
        <is>
          <t>NORRBOTTENS LÄN</t>
        </is>
      </c>
      <c r="G83" t="inlineStr">
        <is>
          <t>KIRUNA</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12937-2026</t>
        </is>
      </c>
      <c r="B84" t="inlineStr">
        <is>
          <t>avverkningsanmälan</t>
        </is>
      </c>
      <c r="C84" t="inlineStr">
        <is>
          <t>Föryngringsavverkning</t>
        </is>
      </c>
      <c r="D84" s="1" t="n">
        <v>46092</v>
      </c>
      <c r="E84" s="1" t="n">
        <v>46269</v>
      </c>
      <c r="F84" t="inlineStr">
        <is>
          <t>NORRBOTTENS LÄN</t>
        </is>
      </c>
      <c r="G84" t="inlineStr">
        <is>
          <t>KIRUNA</t>
        </is>
      </c>
      <c r="I84" t="n">
        <v>37.2</v>
      </c>
      <c r="J84" t="n">
        <v>0</v>
      </c>
      <c r="K84" t="n">
        <v>0</v>
      </c>
      <c r="L84" t="n">
        <v>0</v>
      </c>
      <c r="M84" t="n">
        <v>0</v>
      </c>
      <c r="N84" t="n">
        <v>0</v>
      </c>
      <c r="O84" t="n">
        <v>0</v>
      </c>
      <c r="P84" t="n">
        <v>0</v>
      </c>
      <c r="Q84" t="n">
        <v>0</v>
      </c>
      <c r="R84" t="n">
        <v>0</v>
      </c>
      <c r="S84" t="n">
        <v>0</v>
      </c>
      <c r="T84" t="n">
        <v>0</v>
      </c>
      <c r="U84" t="n">
        <v>0</v>
      </c>
      <c r="V84" s="2" t="inlineStr"/>
    </row>
    <row r="85" ht="15" customHeight="1">
      <c r="A85" t="inlineStr">
        <is>
          <t>A 12984-2026</t>
        </is>
      </c>
      <c r="B85" t="inlineStr">
        <is>
          <t>avverkningsanmälan</t>
        </is>
      </c>
      <c r="C85" t="inlineStr">
        <is>
          <t>Föryngringsavverkning</t>
        </is>
      </c>
      <c r="D85" s="1" t="n">
        <v>46092</v>
      </c>
      <c r="E85" s="1" t="n">
        <v>46269</v>
      </c>
      <c r="F85" t="inlineStr">
        <is>
          <t>NORRBOTTENS LÄN</t>
        </is>
      </c>
      <c r="G85" t="inlineStr">
        <is>
          <t>KIRUNA</t>
        </is>
      </c>
      <c r="I85" t="n">
        <v>18.2</v>
      </c>
      <c r="J85" t="n">
        <v>0</v>
      </c>
      <c r="K85" t="n">
        <v>0</v>
      </c>
      <c r="L85" t="n">
        <v>0</v>
      </c>
      <c r="M85" t="n">
        <v>0</v>
      </c>
      <c r="N85" t="n">
        <v>0</v>
      </c>
      <c r="O85" t="n">
        <v>0</v>
      </c>
      <c r="P85" t="n">
        <v>0</v>
      </c>
      <c r="Q85" t="n">
        <v>0</v>
      </c>
      <c r="R85" t="n">
        <v>0</v>
      </c>
      <c r="S85" t="n">
        <v>0</v>
      </c>
      <c r="T85" t="n">
        <v>0</v>
      </c>
      <c r="U85" t="n">
        <v>0</v>
      </c>
      <c r="V85" s="2" t="inlineStr"/>
    </row>
    <row r="86" ht="15" customHeight="1">
      <c r="A86" t="inlineStr">
        <is>
          <t>A 12969-2026</t>
        </is>
      </c>
      <c r="B86" t="inlineStr">
        <is>
          <t>avverkningsanmälan</t>
        </is>
      </c>
      <c r="C86" t="inlineStr">
        <is>
          <t>Föryngringsavverkning</t>
        </is>
      </c>
      <c r="D86" s="1" t="n">
        <v>46092</v>
      </c>
      <c r="E86" s="1" t="n">
        <v>46269</v>
      </c>
      <c r="F86" t="inlineStr">
        <is>
          <t>NORRBOTTENS LÄN</t>
        </is>
      </c>
      <c r="G86" t="inlineStr">
        <is>
          <t>KIRUNA</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41127-2023</t>
        </is>
      </c>
      <c r="B87" t="inlineStr">
        <is>
          <t>avverkningsanmälan</t>
        </is>
      </c>
      <c r="C87" t="inlineStr">
        <is>
          <t>Avverkning för annat ändamål</t>
        </is>
      </c>
      <c r="D87" s="1" t="n">
        <v>45173</v>
      </c>
      <c r="E87" s="1" t="n">
        <v>46269</v>
      </c>
      <c r="F87" t="inlineStr">
        <is>
          <t>NORRBOTTENS LÄN</t>
        </is>
      </c>
      <c r="G87" t="inlineStr">
        <is>
          <t>KIRUNA</t>
        </is>
      </c>
      <c r="H87" t="inlineStr">
        <is>
          <t>SCA</t>
        </is>
      </c>
      <c r="I87" t="n">
        <v>1.3</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46269</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2026-09-04T02:06:22Z</dcterms:created>
  <dcterms:modified xmlns:dcterms="http://purl.org/dc/terms/" xmlns:xsi="http://www.w3.org/2001/XMLSchema-instance" xsi:type="dcterms:W3CDTF">2026-09-04T02:06:22Z</dcterms:modified>
</cp:coreProperties>
</file>