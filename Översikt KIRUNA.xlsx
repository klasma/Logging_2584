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45999</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45999</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45999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45999</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45999</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45999</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45999</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45999</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45999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21183-2025</t>
        </is>
      </c>
      <c r="B14" s="1" t="n">
        <v>45779</v>
      </c>
      <c r="C14" s="1" t="n">
        <v>45999</v>
      </c>
      <c r="D14" t="inlineStr">
        <is>
          <t>NORRBOTTENS LÄN</t>
        </is>
      </c>
      <c r="E14" t="inlineStr">
        <is>
          <t>KIRUNA</t>
        </is>
      </c>
      <c r="G14" t="n">
        <v>31.9</v>
      </c>
      <c r="H14" t="n">
        <v>1</v>
      </c>
      <c r="I14" t="n">
        <v>0</v>
      </c>
      <c r="J14" t="n">
        <v>1</v>
      </c>
      <c r="K14" t="n">
        <v>0</v>
      </c>
      <c r="L14" t="n">
        <v>0</v>
      </c>
      <c r="M14" t="n">
        <v>0</v>
      </c>
      <c r="N14" t="n">
        <v>0</v>
      </c>
      <c r="O14" t="n">
        <v>1</v>
      </c>
      <c r="P14" t="n">
        <v>0</v>
      </c>
      <c r="Q14" t="n">
        <v>1</v>
      </c>
      <c r="R14" s="2" t="inlineStr">
        <is>
          <t>Venhavre</t>
        </is>
      </c>
      <c r="S14">
        <f>HYPERLINK("https://klasma.github.io/Logging_2584/artfynd/A 21183-2025 artfynd.xlsx", "A 21183-2025")</f>
        <v/>
      </c>
      <c r="T14">
        <f>HYPERLINK("https://klasma.github.io/Logging_2584/kartor/A 21183-2025 karta.png", "A 21183-2025")</f>
        <v/>
      </c>
      <c r="V14">
        <f>HYPERLINK("https://klasma.github.io/Logging_2584/klagomål/A 21183-2025 FSC-klagomål.docx", "A 21183-2025")</f>
        <v/>
      </c>
      <c r="W14">
        <f>HYPERLINK("https://klasma.github.io/Logging_2584/klagomålsmail/A 21183-2025 FSC-klagomål mail.docx", "A 21183-2025")</f>
        <v/>
      </c>
      <c r="X14">
        <f>HYPERLINK("https://klasma.github.io/Logging_2584/tillsyn/A 21183-2025 tillsynsbegäran.docx", "A 21183-2025")</f>
        <v/>
      </c>
      <c r="Y14">
        <f>HYPERLINK("https://klasma.github.io/Logging_2584/tillsynsmail/A 21183-2025 tillsynsbegäran mail.docx", "A 21183-2025")</f>
        <v/>
      </c>
    </row>
    <row r="15" ht="15" customHeight="1">
      <c r="A15" t="inlineStr">
        <is>
          <t>A 17740-2023</t>
        </is>
      </c>
      <c r="B15" s="1" t="n">
        <v>45035</v>
      </c>
      <c r="C15" s="1" t="n">
        <v>45999</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45999</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45999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45999</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45999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45999</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45999</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45999</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45999</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45999</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45999</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45999</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45999</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45999</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45999</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45999</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45999</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18712-2025</t>
        </is>
      </c>
      <c r="B32" s="1" t="n">
        <v>45763</v>
      </c>
      <c r="C32" s="1" t="n">
        <v>45999</v>
      </c>
      <c r="D32" t="inlineStr">
        <is>
          <t>NORRBOTTENS LÄN</t>
        </is>
      </c>
      <c r="E32" t="inlineStr">
        <is>
          <t>KIRUNA</t>
        </is>
      </c>
      <c r="G32" t="n">
        <v>66.5</v>
      </c>
      <c r="H32" t="n">
        <v>0</v>
      </c>
      <c r="I32" t="n">
        <v>0</v>
      </c>
      <c r="J32" t="n">
        <v>0</v>
      </c>
      <c r="K32" t="n">
        <v>0</v>
      </c>
      <c r="L32" t="n">
        <v>0</v>
      </c>
      <c r="M32" t="n">
        <v>0</v>
      </c>
      <c r="N32" t="n">
        <v>0</v>
      </c>
      <c r="O32" t="n">
        <v>0</v>
      </c>
      <c r="P32" t="n">
        <v>0</v>
      </c>
      <c r="Q32" t="n">
        <v>0</v>
      </c>
      <c r="R32" s="2" t="inlineStr"/>
    </row>
    <row r="33" ht="15" customHeight="1">
      <c r="A33" t="inlineStr">
        <is>
          <t>A 93-2024</t>
        </is>
      </c>
      <c r="B33" s="1" t="n">
        <v>45293</v>
      </c>
      <c r="C33" s="1" t="n">
        <v>45999</v>
      </c>
      <c r="D33" t="inlineStr">
        <is>
          <t>NORRBOTTENS LÄN</t>
        </is>
      </c>
      <c r="E33" t="inlineStr">
        <is>
          <t>KIRUNA</t>
        </is>
      </c>
      <c r="G33" t="n">
        <v>0.8</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45999</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45999</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45999</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45999</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45999</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45999</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20744-2024</t>
        </is>
      </c>
      <c r="B40" s="1" t="n">
        <v>45436</v>
      </c>
      <c r="C40" s="1" t="n">
        <v>45999</v>
      </c>
      <c r="D40" t="inlineStr">
        <is>
          <t>NORRBOTTENS LÄN</t>
        </is>
      </c>
      <c r="E40" t="inlineStr">
        <is>
          <t>KIRUNA</t>
        </is>
      </c>
      <c r="G40" t="n">
        <v>9.699999999999999</v>
      </c>
      <c r="H40" t="n">
        <v>0</v>
      </c>
      <c r="I40" t="n">
        <v>0</v>
      </c>
      <c r="J40" t="n">
        <v>0</v>
      </c>
      <c r="K40" t="n">
        <v>0</v>
      </c>
      <c r="L40" t="n">
        <v>0</v>
      </c>
      <c r="M40" t="n">
        <v>0</v>
      </c>
      <c r="N40" t="n">
        <v>0</v>
      </c>
      <c r="O40" t="n">
        <v>0</v>
      </c>
      <c r="P40" t="n">
        <v>0</v>
      </c>
      <c r="Q40" t="n">
        <v>0</v>
      </c>
      <c r="R40" s="2" t="inlineStr"/>
    </row>
    <row r="41" ht="15" customHeight="1">
      <c r="A41" t="inlineStr">
        <is>
          <t>A 18737-2023</t>
        </is>
      </c>
      <c r="B41" s="1" t="n">
        <v>45042</v>
      </c>
      <c r="C41" s="1" t="n">
        <v>45999</v>
      </c>
      <c r="D41" t="inlineStr">
        <is>
          <t>NORRBOTTENS LÄN</t>
        </is>
      </c>
      <c r="E41" t="inlineStr">
        <is>
          <t>KIRUNA</t>
        </is>
      </c>
      <c r="F41" t="inlineStr">
        <is>
          <t>Sveaskog</t>
        </is>
      </c>
      <c r="G41" t="n">
        <v>10.7</v>
      </c>
      <c r="H41" t="n">
        <v>0</v>
      </c>
      <c r="I41" t="n">
        <v>0</v>
      </c>
      <c r="J41" t="n">
        <v>0</v>
      </c>
      <c r="K41" t="n">
        <v>0</v>
      </c>
      <c r="L41" t="n">
        <v>0</v>
      </c>
      <c r="M41" t="n">
        <v>0</v>
      </c>
      <c r="N41" t="n">
        <v>0</v>
      </c>
      <c r="O41" t="n">
        <v>0</v>
      </c>
      <c r="P41" t="n">
        <v>0</v>
      </c>
      <c r="Q41" t="n">
        <v>0</v>
      </c>
      <c r="R41" s="2" t="inlineStr"/>
    </row>
    <row r="42" ht="15" customHeight="1">
      <c r="A42" t="inlineStr">
        <is>
          <t>A 20764-2025</t>
        </is>
      </c>
      <c r="B42" s="1" t="n">
        <v>45776</v>
      </c>
      <c r="C42" s="1" t="n">
        <v>45999</v>
      </c>
      <c r="D42" t="inlineStr">
        <is>
          <t>NORRBOTTENS LÄN</t>
        </is>
      </c>
      <c r="E42" t="inlineStr">
        <is>
          <t>KIRUNA</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20770-2025</t>
        </is>
      </c>
      <c r="B43" s="1" t="n">
        <v>45776</v>
      </c>
      <c r="C43" s="1" t="n">
        <v>45999</v>
      </c>
      <c r="D43" t="inlineStr">
        <is>
          <t>NORRBOTTENS LÄN</t>
        </is>
      </c>
      <c r="E43" t="inlineStr">
        <is>
          <t>KIRUNA</t>
        </is>
      </c>
      <c r="F43" t="inlineStr">
        <is>
          <t>Sveaskog</t>
        </is>
      </c>
      <c r="G43" t="n">
        <v>5.5</v>
      </c>
      <c r="H43" t="n">
        <v>0</v>
      </c>
      <c r="I43" t="n">
        <v>0</v>
      </c>
      <c r="J43" t="n">
        <v>0</v>
      </c>
      <c r="K43" t="n">
        <v>0</v>
      </c>
      <c r="L43" t="n">
        <v>0</v>
      </c>
      <c r="M43" t="n">
        <v>0</v>
      </c>
      <c r="N43" t="n">
        <v>0</v>
      </c>
      <c r="O43" t="n">
        <v>0</v>
      </c>
      <c r="P43" t="n">
        <v>0</v>
      </c>
      <c r="Q43" t="n">
        <v>0</v>
      </c>
      <c r="R43" s="2" t="inlineStr"/>
    </row>
    <row r="44" ht="15" customHeight="1">
      <c r="A44" t="inlineStr">
        <is>
          <t>A 34693-2022</t>
        </is>
      </c>
      <c r="B44" s="1" t="n">
        <v>44795</v>
      </c>
      <c r="C44" s="1" t="n">
        <v>45999</v>
      </c>
      <c r="D44" t="inlineStr">
        <is>
          <t>NORRBOTTENS LÄN</t>
        </is>
      </c>
      <c r="E44" t="inlineStr">
        <is>
          <t>KIRUNA</t>
        </is>
      </c>
      <c r="G44" t="n">
        <v>12.3</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45999</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20581-2025</t>
        </is>
      </c>
      <c r="B46" s="1" t="n">
        <v>45775</v>
      </c>
      <c r="C46" s="1" t="n">
        <v>45999</v>
      </c>
      <c r="D46" t="inlineStr">
        <is>
          <t>NORRBOTTENS LÄN</t>
        </is>
      </c>
      <c r="E46" t="inlineStr">
        <is>
          <t>KIRUNA</t>
        </is>
      </c>
      <c r="F46" t="inlineStr">
        <is>
          <t>Sveaskog</t>
        </is>
      </c>
      <c r="G46" t="n">
        <v>4</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45999</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5533-2024</t>
        </is>
      </c>
      <c r="B48" s="1" t="n">
        <v>45334</v>
      </c>
      <c r="C48" s="1" t="n">
        <v>45999</v>
      </c>
      <c r="D48" t="inlineStr">
        <is>
          <t>NORRBOTTENS LÄN</t>
        </is>
      </c>
      <c r="E48" t="inlineStr">
        <is>
          <t>KIRUNA</t>
        </is>
      </c>
      <c r="G48" t="n">
        <v>2.4</v>
      </c>
      <c r="H48" t="n">
        <v>0</v>
      </c>
      <c r="I48" t="n">
        <v>0</v>
      </c>
      <c r="J48" t="n">
        <v>0</v>
      </c>
      <c r="K48" t="n">
        <v>0</v>
      </c>
      <c r="L48" t="n">
        <v>0</v>
      </c>
      <c r="M48" t="n">
        <v>0</v>
      </c>
      <c r="N48" t="n">
        <v>0</v>
      </c>
      <c r="O48" t="n">
        <v>0</v>
      </c>
      <c r="P48" t="n">
        <v>0</v>
      </c>
      <c r="Q48" t="n">
        <v>0</v>
      </c>
      <c r="R48" s="2" t="inlineStr"/>
    </row>
    <row r="49" ht="15" customHeight="1">
      <c r="A49" t="inlineStr">
        <is>
          <t>A 29932-2021</t>
        </is>
      </c>
      <c r="B49" s="1" t="n">
        <v>44362</v>
      </c>
      <c r="C49" s="1" t="n">
        <v>45999</v>
      </c>
      <c r="D49" t="inlineStr">
        <is>
          <t>NORRBOTTENS LÄN</t>
        </is>
      </c>
      <c r="E49" t="inlineStr">
        <is>
          <t>KIRUNA</t>
        </is>
      </c>
      <c r="G49" t="n">
        <v>9.1</v>
      </c>
      <c r="H49" t="n">
        <v>0</v>
      </c>
      <c r="I49" t="n">
        <v>0</v>
      </c>
      <c r="J49" t="n">
        <v>0</v>
      </c>
      <c r="K49" t="n">
        <v>0</v>
      </c>
      <c r="L49" t="n">
        <v>0</v>
      </c>
      <c r="M49" t="n">
        <v>0</v>
      </c>
      <c r="N49" t="n">
        <v>0</v>
      </c>
      <c r="O49" t="n">
        <v>0</v>
      </c>
      <c r="P49" t="n">
        <v>0</v>
      </c>
      <c r="Q49" t="n">
        <v>0</v>
      </c>
      <c r="R49" s="2" t="inlineStr"/>
    </row>
    <row r="50" ht="15" customHeight="1">
      <c r="A50" t="inlineStr">
        <is>
          <t>A 56168-2023</t>
        </is>
      </c>
      <c r="B50" s="1" t="n">
        <v>45236</v>
      </c>
      <c r="C50" s="1" t="n">
        <v>45999</v>
      </c>
      <c r="D50" t="inlineStr">
        <is>
          <t>NORRBOTTENS LÄN</t>
        </is>
      </c>
      <c r="E50" t="inlineStr">
        <is>
          <t>KIRUNA</t>
        </is>
      </c>
      <c r="F50" t="inlineStr">
        <is>
          <t>Sveaskog</t>
        </is>
      </c>
      <c r="G50" t="n">
        <v>6.6</v>
      </c>
      <c r="H50" t="n">
        <v>0</v>
      </c>
      <c r="I50" t="n">
        <v>0</v>
      </c>
      <c r="J50" t="n">
        <v>0</v>
      </c>
      <c r="K50" t="n">
        <v>0</v>
      </c>
      <c r="L50" t="n">
        <v>0</v>
      </c>
      <c r="M50" t="n">
        <v>0</v>
      </c>
      <c r="N50" t="n">
        <v>0</v>
      </c>
      <c r="O50" t="n">
        <v>0</v>
      </c>
      <c r="P50" t="n">
        <v>0</v>
      </c>
      <c r="Q50" t="n">
        <v>0</v>
      </c>
      <c r="R50" s="2" t="inlineStr"/>
    </row>
    <row r="51" ht="15" customHeight="1">
      <c r="A51" t="inlineStr">
        <is>
          <t>A 8350-2025</t>
        </is>
      </c>
      <c r="B51" s="1" t="n">
        <v>45708</v>
      </c>
      <c r="C51" s="1" t="n">
        <v>45999</v>
      </c>
      <c r="D51" t="inlineStr">
        <is>
          <t>NORRBOTTENS LÄN</t>
        </is>
      </c>
      <c r="E51" t="inlineStr">
        <is>
          <t>KIRUNA</t>
        </is>
      </c>
      <c r="F51" t="inlineStr">
        <is>
          <t>Övriga statliga verk och myndigheter</t>
        </is>
      </c>
      <c r="G51" t="n">
        <v>0.8</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45999</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45999</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45999</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20578-2025</t>
        </is>
      </c>
      <c r="B55" s="1" t="n">
        <v>45775</v>
      </c>
      <c r="C55" s="1" t="n">
        <v>45999</v>
      </c>
      <c r="D55" t="inlineStr">
        <is>
          <t>NORRBOTTENS LÄN</t>
        </is>
      </c>
      <c r="E55" t="inlineStr">
        <is>
          <t>KIRUNA</t>
        </is>
      </c>
      <c r="F55" t="inlineStr">
        <is>
          <t>Sveaskog</t>
        </is>
      </c>
      <c r="G55" t="n">
        <v>12.5</v>
      </c>
      <c r="H55" t="n">
        <v>0</v>
      </c>
      <c r="I55" t="n">
        <v>0</v>
      </c>
      <c r="J55" t="n">
        <v>0</v>
      </c>
      <c r="K55" t="n">
        <v>0</v>
      </c>
      <c r="L55" t="n">
        <v>0</v>
      </c>
      <c r="M55" t="n">
        <v>0</v>
      </c>
      <c r="N55" t="n">
        <v>0</v>
      </c>
      <c r="O55" t="n">
        <v>0</v>
      </c>
      <c r="P55" t="n">
        <v>0</v>
      </c>
      <c r="Q55" t="n">
        <v>0</v>
      </c>
      <c r="R55" s="2" t="inlineStr"/>
    </row>
    <row r="56" ht="15" customHeight="1">
      <c r="A56" t="inlineStr">
        <is>
          <t>A 58860-2022</t>
        </is>
      </c>
      <c r="B56" s="1" t="n">
        <v>44896</v>
      </c>
      <c r="C56" s="1" t="n">
        <v>45999</v>
      </c>
      <c r="D56" t="inlineStr">
        <is>
          <t>NORRBOTTENS LÄN</t>
        </is>
      </c>
      <c r="E56" t="inlineStr">
        <is>
          <t>KIRUNA</t>
        </is>
      </c>
      <c r="G56" t="n">
        <v>0.3</v>
      </c>
      <c r="H56" t="n">
        <v>0</v>
      </c>
      <c r="I56" t="n">
        <v>0</v>
      </c>
      <c r="J56" t="n">
        <v>0</v>
      </c>
      <c r="K56" t="n">
        <v>0</v>
      </c>
      <c r="L56" t="n">
        <v>0</v>
      </c>
      <c r="M56" t="n">
        <v>0</v>
      </c>
      <c r="N56" t="n">
        <v>0</v>
      </c>
      <c r="O56" t="n">
        <v>0</v>
      </c>
      <c r="P56" t="n">
        <v>0</v>
      </c>
      <c r="Q56" t="n">
        <v>0</v>
      </c>
      <c r="R56" s="2" t="inlineStr"/>
    </row>
    <row r="57" ht="15" customHeight="1">
      <c r="A57" t="inlineStr">
        <is>
          <t>A 62439-2022</t>
        </is>
      </c>
      <c r="B57" s="1" t="n">
        <v>44916</v>
      </c>
      <c r="C57" s="1" t="n">
        <v>45999</v>
      </c>
      <c r="D57" t="inlineStr">
        <is>
          <t>NORRBOTTENS LÄN</t>
        </is>
      </c>
      <c r="E57" t="inlineStr">
        <is>
          <t>KIRUNA</t>
        </is>
      </c>
      <c r="G57" t="n">
        <v>3.2</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45999</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22504-2024</t>
        </is>
      </c>
      <c r="B59" s="1" t="n">
        <v>45447</v>
      </c>
      <c r="C59" s="1" t="n">
        <v>45999</v>
      </c>
      <c r="D59" t="inlineStr">
        <is>
          <t>NORRBOTTENS LÄN</t>
        </is>
      </c>
      <c r="E59" t="inlineStr">
        <is>
          <t>KIRUNA</t>
        </is>
      </c>
      <c r="G59" t="n">
        <v>15.6</v>
      </c>
      <c r="H59" t="n">
        <v>0</v>
      </c>
      <c r="I59" t="n">
        <v>0</v>
      </c>
      <c r="J59" t="n">
        <v>0</v>
      </c>
      <c r="K59" t="n">
        <v>0</v>
      </c>
      <c r="L59" t="n">
        <v>0</v>
      </c>
      <c r="M59" t="n">
        <v>0</v>
      </c>
      <c r="N59" t="n">
        <v>0</v>
      </c>
      <c r="O59" t="n">
        <v>0</v>
      </c>
      <c r="P59" t="n">
        <v>0</v>
      </c>
      <c r="Q59" t="n">
        <v>0</v>
      </c>
      <c r="R59" s="2" t="inlineStr"/>
    </row>
    <row r="60" ht="15" customHeight="1">
      <c r="A60" t="inlineStr">
        <is>
          <t>A 18698-2025</t>
        </is>
      </c>
      <c r="B60" s="1" t="n">
        <v>45763</v>
      </c>
      <c r="C60" s="1" t="n">
        <v>45999</v>
      </c>
      <c r="D60" t="inlineStr">
        <is>
          <t>NORRBOTTENS LÄN</t>
        </is>
      </c>
      <c r="E60" t="inlineStr">
        <is>
          <t>KIRUNA</t>
        </is>
      </c>
      <c r="G60" t="n">
        <v>29.7</v>
      </c>
      <c r="H60" t="n">
        <v>0</v>
      </c>
      <c r="I60" t="n">
        <v>0</v>
      </c>
      <c r="J60" t="n">
        <v>0</v>
      </c>
      <c r="K60" t="n">
        <v>0</v>
      </c>
      <c r="L60" t="n">
        <v>0</v>
      </c>
      <c r="M60" t="n">
        <v>0</v>
      </c>
      <c r="N60" t="n">
        <v>0</v>
      </c>
      <c r="O60" t="n">
        <v>0</v>
      </c>
      <c r="P60" t="n">
        <v>0</v>
      </c>
      <c r="Q60" t="n">
        <v>0</v>
      </c>
      <c r="R60" s="2" t="inlineStr"/>
    </row>
    <row r="61" ht="15" customHeight="1">
      <c r="A61" t="inlineStr">
        <is>
          <t>A 21112-2025</t>
        </is>
      </c>
      <c r="B61" s="1" t="n">
        <v>45777</v>
      </c>
      <c r="C61" s="1" t="n">
        <v>45999</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45999</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45999</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5476-2024</t>
        </is>
      </c>
      <c r="B64" s="1" t="n">
        <v>45333</v>
      </c>
      <c r="C64" s="1" t="n">
        <v>45999</v>
      </c>
      <c r="D64" t="inlineStr">
        <is>
          <t>NORRBOTTENS LÄN</t>
        </is>
      </c>
      <c r="E64" t="inlineStr">
        <is>
          <t>KIRUNA</t>
        </is>
      </c>
      <c r="G64" t="n">
        <v>1.8</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45999</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45999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45999</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50338-2025</t>
        </is>
      </c>
      <c r="B68" s="1" t="n">
        <v>45944.52140046296</v>
      </c>
      <c r="C68" s="1" t="n">
        <v>45999</v>
      </c>
      <c r="D68" t="inlineStr">
        <is>
          <t>NORRBOTTENS LÄN</t>
        </is>
      </c>
      <c r="E68" t="inlineStr">
        <is>
          <t>KIRUNA</t>
        </is>
      </c>
      <c r="F68" t="inlineStr">
        <is>
          <t>SCA</t>
        </is>
      </c>
      <c r="G68" t="n">
        <v>22.6</v>
      </c>
      <c r="H68" t="n">
        <v>0</v>
      </c>
      <c r="I68" t="n">
        <v>0</v>
      </c>
      <c r="J68" t="n">
        <v>0</v>
      </c>
      <c r="K68" t="n">
        <v>0</v>
      </c>
      <c r="L68" t="n">
        <v>0</v>
      </c>
      <c r="M68" t="n">
        <v>0</v>
      </c>
      <c r="N68" t="n">
        <v>0</v>
      </c>
      <c r="O68" t="n">
        <v>0</v>
      </c>
      <c r="P68" t="n">
        <v>0</v>
      </c>
      <c r="Q68" t="n">
        <v>0</v>
      </c>
      <c r="R68" s="2" t="inlineStr"/>
    </row>
    <row r="69" ht="15" customHeight="1">
      <c r="A69" t="inlineStr">
        <is>
          <t>A 33183-2025</t>
        </is>
      </c>
      <c r="B69" s="1" t="n">
        <v>45840.59206018518</v>
      </c>
      <c r="C69" s="1" t="n">
        <v>45999</v>
      </c>
      <c r="D69" t="inlineStr">
        <is>
          <t>NORRBOTTENS LÄN</t>
        </is>
      </c>
      <c r="E69" t="inlineStr">
        <is>
          <t>KIRUNA</t>
        </is>
      </c>
      <c r="G69" t="n">
        <v>2.8</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45999</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45999</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18721-2024</t>
        </is>
      </c>
      <c r="B72" s="1" t="n">
        <v>45426</v>
      </c>
      <c r="C72" s="1" t="n">
        <v>45999</v>
      </c>
      <c r="D72" t="inlineStr">
        <is>
          <t>NORRBOTTENS LÄN</t>
        </is>
      </c>
      <c r="E72" t="inlineStr">
        <is>
          <t>KIRUNA</t>
        </is>
      </c>
      <c r="G72" t="n">
        <v>62.1</v>
      </c>
      <c r="H72" t="n">
        <v>0</v>
      </c>
      <c r="I72" t="n">
        <v>0</v>
      </c>
      <c r="J72" t="n">
        <v>0</v>
      </c>
      <c r="K72" t="n">
        <v>0</v>
      </c>
      <c r="L72" t="n">
        <v>0</v>
      </c>
      <c r="M72" t="n">
        <v>0</v>
      </c>
      <c r="N72" t="n">
        <v>0</v>
      </c>
      <c r="O72" t="n">
        <v>0</v>
      </c>
      <c r="P72" t="n">
        <v>0</v>
      </c>
      <c r="Q72" t="n">
        <v>0</v>
      </c>
      <c r="R72" s="2" t="inlineStr"/>
    </row>
    <row r="73" ht="15" customHeight="1">
      <c r="A73" t="inlineStr">
        <is>
          <t>A 9068-2023</t>
        </is>
      </c>
      <c r="B73" s="1" t="n">
        <v>44979</v>
      </c>
      <c r="C73" s="1" t="n">
        <v>45999</v>
      </c>
      <c r="D73" t="inlineStr">
        <is>
          <t>NORRBOTTENS LÄN</t>
        </is>
      </c>
      <c r="E73" t="inlineStr">
        <is>
          <t>KIRUNA</t>
        </is>
      </c>
      <c r="F73" t="inlineStr">
        <is>
          <t>SCA</t>
        </is>
      </c>
      <c r="G73" t="n">
        <v>4.6</v>
      </c>
      <c r="H73" t="n">
        <v>0</v>
      </c>
      <c r="I73" t="n">
        <v>0</v>
      </c>
      <c r="J73" t="n">
        <v>0</v>
      </c>
      <c r="K73" t="n">
        <v>0</v>
      </c>
      <c r="L73" t="n">
        <v>0</v>
      </c>
      <c r="M73" t="n">
        <v>0</v>
      </c>
      <c r="N73" t="n">
        <v>0</v>
      </c>
      <c r="O73" t="n">
        <v>0</v>
      </c>
      <c r="P73" t="n">
        <v>0</v>
      </c>
      <c r="Q73" t="n">
        <v>0</v>
      </c>
      <c r="R73" s="2" t="inlineStr"/>
    </row>
    <row r="74" ht="15" customHeight="1">
      <c r="A74" t="inlineStr">
        <is>
          <t>A 23469-2022</t>
        </is>
      </c>
      <c r="B74" s="1" t="n">
        <v>44721</v>
      </c>
      <c r="C74" s="1" t="n">
        <v>45999</v>
      </c>
      <c r="D74" t="inlineStr">
        <is>
          <t>NORRBOTTENS LÄN</t>
        </is>
      </c>
      <c r="E74" t="inlineStr">
        <is>
          <t>KIRUNA</t>
        </is>
      </c>
      <c r="G74" t="n">
        <v>11.8</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45999</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62460-2022</t>
        </is>
      </c>
      <c r="B76" s="1" t="n">
        <v>44916</v>
      </c>
      <c r="C76" s="1" t="n">
        <v>45999</v>
      </c>
      <c r="D76" t="inlineStr">
        <is>
          <t>NORRBOTTENS LÄN</t>
        </is>
      </c>
      <c r="E76" t="inlineStr">
        <is>
          <t>KIRUNA</t>
        </is>
      </c>
      <c r="G76" t="n">
        <v>13.4</v>
      </c>
      <c r="H76" t="n">
        <v>0</v>
      </c>
      <c r="I76" t="n">
        <v>0</v>
      </c>
      <c r="J76" t="n">
        <v>0</v>
      </c>
      <c r="K76" t="n">
        <v>0</v>
      </c>
      <c r="L76" t="n">
        <v>0</v>
      </c>
      <c r="M76" t="n">
        <v>0</v>
      </c>
      <c r="N76" t="n">
        <v>0</v>
      </c>
      <c r="O76" t="n">
        <v>0</v>
      </c>
      <c r="P76" t="n">
        <v>0</v>
      </c>
      <c r="Q76" t="n">
        <v>0</v>
      </c>
      <c r="R76" s="2" t="inlineStr"/>
    </row>
    <row r="77" ht="15" customHeight="1">
      <c r="A77" t="inlineStr">
        <is>
          <t>A 47730-2024</t>
        </is>
      </c>
      <c r="B77" s="1" t="n">
        <v>45588</v>
      </c>
      <c r="C77" s="1" t="n">
        <v>45999</v>
      </c>
      <c r="D77" t="inlineStr">
        <is>
          <t>NORRBOTTENS LÄN</t>
        </is>
      </c>
      <c r="E77" t="inlineStr">
        <is>
          <t>KIRUNA</t>
        </is>
      </c>
      <c r="F77" t="inlineStr">
        <is>
          <t>Allmännings- och besparingsskogar</t>
        </is>
      </c>
      <c r="G77" t="n">
        <v>3.7</v>
      </c>
      <c r="H77" t="n">
        <v>0</v>
      </c>
      <c r="I77" t="n">
        <v>0</v>
      </c>
      <c r="J77" t="n">
        <v>0</v>
      </c>
      <c r="K77" t="n">
        <v>0</v>
      </c>
      <c r="L77" t="n">
        <v>0</v>
      </c>
      <c r="M77" t="n">
        <v>0</v>
      </c>
      <c r="N77" t="n">
        <v>0</v>
      </c>
      <c r="O77" t="n">
        <v>0</v>
      </c>
      <c r="P77" t="n">
        <v>0</v>
      </c>
      <c r="Q77" t="n">
        <v>0</v>
      </c>
      <c r="R77" s="2" t="inlineStr"/>
    </row>
    <row r="78" ht="15" customHeight="1">
      <c r="A78" t="inlineStr">
        <is>
          <t>A 36939-2022</t>
        </is>
      </c>
      <c r="B78" s="1" t="n">
        <v>44805</v>
      </c>
      <c r="C78" s="1" t="n">
        <v>45999</v>
      </c>
      <c r="D78" t="inlineStr">
        <is>
          <t>NORRBOTTENS LÄN</t>
        </is>
      </c>
      <c r="E78" t="inlineStr">
        <is>
          <t>KIRUNA</t>
        </is>
      </c>
      <c r="G78" t="n">
        <v>3.1</v>
      </c>
      <c r="H78" t="n">
        <v>0</v>
      </c>
      <c r="I78" t="n">
        <v>0</v>
      </c>
      <c r="J78" t="n">
        <v>0</v>
      </c>
      <c r="K78" t="n">
        <v>0</v>
      </c>
      <c r="L78" t="n">
        <v>0</v>
      </c>
      <c r="M78" t="n">
        <v>0</v>
      </c>
      <c r="N78" t="n">
        <v>0</v>
      </c>
      <c r="O78" t="n">
        <v>0</v>
      </c>
      <c r="P78" t="n">
        <v>0</v>
      </c>
      <c r="Q78" t="n">
        <v>0</v>
      </c>
      <c r="R78" s="2" t="inlineStr"/>
    </row>
    <row r="79">
      <c r="A79" t="inlineStr">
        <is>
          <t>A 49704-2024</t>
        </is>
      </c>
      <c r="B79" s="1" t="n">
        <v>45596</v>
      </c>
      <c r="C79" s="1" t="n">
        <v>45999</v>
      </c>
      <c r="D79" t="inlineStr">
        <is>
          <t>NORRBOTTENS LÄN</t>
        </is>
      </c>
      <c r="E79" t="inlineStr">
        <is>
          <t>KIRUNA</t>
        </is>
      </c>
      <c r="G79" t="n">
        <v>17.4</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2025-12-08T10:29:24Z</dcterms:created>
  <dcterms:modified xmlns:dcterms="http://purl.org/dc/terms/" xmlns:xsi="http://www.w3.org/2001/XMLSchema-instance" xsi:type="dcterms:W3CDTF">2025-12-08T10:29:24Z</dcterms:modified>
</cp:coreProperties>
</file>