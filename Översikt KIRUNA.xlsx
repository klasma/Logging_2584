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46200</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46200</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46200</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46200</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46200</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46200</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46200</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46200</v>
      </c>
      <c r="D9" t="inlineStr">
        <is>
          <t>NORRBOTTENS LÄN</t>
        </is>
      </c>
      <c r="E9" t="inlineStr">
        <is>
          <t>KIRUNA</t>
        </is>
      </c>
      <c r="G9" t="n">
        <v>31.7</v>
      </c>
      <c r="H9" t="n">
        <v>2</v>
      </c>
      <c r="I9" t="n">
        <v>0</v>
      </c>
      <c r="J9" t="n">
        <v>2</v>
      </c>
      <c r="K9" t="n">
        <v>0</v>
      </c>
      <c r="L9" t="n">
        <v>0</v>
      </c>
      <c r="M9" t="n">
        <v>0</v>
      </c>
      <c r="N9" t="n">
        <v>0</v>
      </c>
      <c r="O9" t="n">
        <v>2</v>
      </c>
      <c r="P9" t="n">
        <v>0</v>
      </c>
      <c r="Q9" t="n">
        <v>3</v>
      </c>
      <c r="R9" s="2" t="inlineStr">
        <is>
          <t>Höstlåsbräken
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20780-2025</t>
        </is>
      </c>
      <c r="B10" s="1" t="n">
        <v>45776</v>
      </c>
      <c r="C10" s="1" t="n">
        <v>46200</v>
      </c>
      <c r="D10" t="inlineStr">
        <is>
          <t>NORRBOTTENS LÄN</t>
        </is>
      </c>
      <c r="E10" t="inlineStr">
        <is>
          <t>KIRUNA</t>
        </is>
      </c>
      <c r="F10" t="inlineStr">
        <is>
          <t>Sveaskog</t>
        </is>
      </c>
      <c r="G10" t="n">
        <v>5.7</v>
      </c>
      <c r="H10" t="n">
        <v>1</v>
      </c>
      <c r="I10" t="n">
        <v>2</v>
      </c>
      <c r="J10" t="n">
        <v>0</v>
      </c>
      <c r="K10" t="n">
        <v>1</v>
      </c>
      <c r="L10" t="n">
        <v>0</v>
      </c>
      <c r="M10" t="n">
        <v>0</v>
      </c>
      <c r="N10" t="n">
        <v>0</v>
      </c>
      <c r="O10" t="n">
        <v>1</v>
      </c>
      <c r="P10" t="n">
        <v>1</v>
      </c>
      <c r="Q10" t="n">
        <v>3</v>
      </c>
      <c r="R10" s="2" t="inlineStr">
        <is>
          <t>Garnlav
Lappranunkel
Stuplav</t>
        </is>
      </c>
      <c r="S10">
        <f>HYPERLINK("https://klasma.github.io/Logging_2584/artfynd/A 20780-2025 artfynd.xlsx", "A 20780-2025")</f>
        <v/>
      </c>
      <c r="T10">
        <f>HYPERLINK("https://klasma.github.io/Logging_2584/kartor/A 20780-2025 karta.png", "A 20780-2025")</f>
        <v/>
      </c>
      <c r="V10">
        <f>HYPERLINK("https://klasma.github.io/Logging_2584/klagomål/A 20780-2025 FSC-klagomål.docx", "A 20780-2025")</f>
        <v/>
      </c>
      <c r="W10">
        <f>HYPERLINK("https://klasma.github.io/Logging_2584/klagomålsmail/A 20780-2025 FSC-klagomål mail.docx", "A 20780-2025")</f>
        <v/>
      </c>
      <c r="X10">
        <f>HYPERLINK("https://klasma.github.io/Logging_2584/tillsyn/A 20780-2025 tillsynsbegäran.docx", "A 20780-2025")</f>
        <v/>
      </c>
      <c r="Y10">
        <f>HYPERLINK("https://klasma.github.io/Logging_2584/tillsynsmail/A 20780-2025 tillsynsbegäran mail.docx", "A 20780-2025")</f>
        <v/>
      </c>
    </row>
    <row r="11" ht="15" customHeight="1">
      <c r="A11" t="inlineStr">
        <is>
          <t>A 21183-2025</t>
        </is>
      </c>
      <c r="B11" s="1" t="n">
        <v>45779</v>
      </c>
      <c r="C11" s="1" t="n">
        <v>46200</v>
      </c>
      <c r="D11" t="inlineStr">
        <is>
          <t>NORRBOTTENS LÄN</t>
        </is>
      </c>
      <c r="E11" t="inlineStr">
        <is>
          <t>KIRUNA</t>
        </is>
      </c>
      <c r="G11" t="n">
        <v>31.9</v>
      </c>
      <c r="H11" t="n">
        <v>2</v>
      </c>
      <c r="I11" t="n">
        <v>1</v>
      </c>
      <c r="J11" t="n">
        <v>2</v>
      </c>
      <c r="K11" t="n">
        <v>0</v>
      </c>
      <c r="L11" t="n">
        <v>0</v>
      </c>
      <c r="M11" t="n">
        <v>0</v>
      </c>
      <c r="N11" t="n">
        <v>0</v>
      </c>
      <c r="O11" t="n">
        <v>2</v>
      </c>
      <c r="P11" t="n">
        <v>0</v>
      </c>
      <c r="Q11" t="n">
        <v>3</v>
      </c>
      <c r="R11" s="2" t="inlineStr">
        <is>
          <t>Lappmes
Venhavre
Kärrtrumpetmossa</t>
        </is>
      </c>
      <c r="S11">
        <f>HYPERLINK("https://klasma.github.io/Logging_2584/artfynd/A 21183-2025 artfynd.xlsx", "A 21183-2025")</f>
        <v/>
      </c>
      <c r="T11">
        <f>HYPERLINK("https://klasma.github.io/Logging_2584/kartor/A 21183-2025 karta.png", "A 21183-2025")</f>
        <v/>
      </c>
      <c r="V11">
        <f>HYPERLINK("https://klasma.github.io/Logging_2584/klagomål/A 21183-2025 FSC-klagomål.docx", "A 21183-2025")</f>
        <v/>
      </c>
      <c r="W11">
        <f>HYPERLINK("https://klasma.github.io/Logging_2584/klagomålsmail/A 21183-2025 FSC-klagomål mail.docx", "A 21183-2025")</f>
        <v/>
      </c>
      <c r="X11">
        <f>HYPERLINK("https://klasma.github.io/Logging_2584/tillsyn/A 21183-2025 tillsynsbegäran.docx", "A 21183-2025")</f>
        <v/>
      </c>
      <c r="Y11">
        <f>HYPERLINK("https://klasma.github.io/Logging_2584/tillsynsmail/A 21183-2025 tillsynsbegäran mail.docx", "A 21183-2025")</f>
        <v/>
      </c>
      <c r="Z11">
        <f>HYPERLINK("https://klasma.github.io/Logging_2584/fåglar/A 21183-2025 prioriterade fågelarter.docx", "A 21183-2025")</f>
        <v/>
      </c>
    </row>
    <row r="12" ht="15" customHeight="1">
      <c r="A12" t="inlineStr">
        <is>
          <t>A 22495-2024</t>
        </is>
      </c>
      <c r="B12" s="1" t="n">
        <v>45447</v>
      </c>
      <c r="C12" s="1" t="n">
        <v>46200</v>
      </c>
      <c r="D12" t="inlineStr">
        <is>
          <t>NORRBOTTENS LÄN</t>
        </is>
      </c>
      <c r="E12" t="inlineStr">
        <is>
          <t>KIRUNA</t>
        </is>
      </c>
      <c r="G12" t="n">
        <v>7.1</v>
      </c>
      <c r="H12" t="n">
        <v>2</v>
      </c>
      <c r="I12" t="n">
        <v>0</v>
      </c>
      <c r="J12" t="n">
        <v>2</v>
      </c>
      <c r="K12" t="n">
        <v>1</v>
      </c>
      <c r="L12" t="n">
        <v>0</v>
      </c>
      <c r="M12" t="n">
        <v>0</v>
      </c>
      <c r="N12" t="n">
        <v>0</v>
      </c>
      <c r="O12" t="n">
        <v>3</v>
      </c>
      <c r="P12" t="n">
        <v>1</v>
      </c>
      <c r="Q12" t="n">
        <v>3</v>
      </c>
      <c r="R12" s="2" t="inlineStr">
        <is>
          <t>Tajgafältmätare
Blåhake
Lavskrika</t>
        </is>
      </c>
      <c r="S12">
        <f>HYPERLINK("https://klasma.github.io/Logging_2584/artfynd/A 22495-2024 artfynd.xlsx", "A 22495-2024")</f>
        <v/>
      </c>
      <c r="T12">
        <f>HYPERLINK("https://klasma.github.io/Logging_2584/kartor/A 22495-2024 karta.png", "A 22495-2024")</f>
        <v/>
      </c>
      <c r="V12">
        <f>HYPERLINK("https://klasma.github.io/Logging_2584/klagomål/A 22495-2024 FSC-klagomål.docx", "A 22495-2024")</f>
        <v/>
      </c>
      <c r="W12">
        <f>HYPERLINK("https://klasma.github.io/Logging_2584/klagomålsmail/A 22495-2024 FSC-klagomål mail.docx", "A 22495-2024")</f>
        <v/>
      </c>
      <c r="X12">
        <f>HYPERLINK("https://klasma.github.io/Logging_2584/tillsyn/A 22495-2024 tillsynsbegäran.docx", "A 22495-2024")</f>
        <v/>
      </c>
      <c r="Y12">
        <f>HYPERLINK("https://klasma.github.io/Logging_2584/tillsynsmail/A 22495-2024 tillsynsbegäran mail.docx", "A 22495-2024")</f>
        <v/>
      </c>
      <c r="Z12">
        <f>HYPERLINK("https://klasma.github.io/Logging_2584/fåglar/A 22495-2024 prioriterade fågelarter.docx", "A 22495-2024")</f>
        <v/>
      </c>
    </row>
    <row r="13" ht="15" customHeight="1">
      <c r="A13" t="inlineStr">
        <is>
          <t>A 58860-2022</t>
        </is>
      </c>
      <c r="B13" s="1" t="n">
        <v>44896</v>
      </c>
      <c r="C13" s="1" t="n">
        <v>46200</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46200</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46200</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46200</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46200</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4367-2024</t>
        </is>
      </c>
      <c r="B18" s="1" t="n">
        <v>45326</v>
      </c>
      <c r="C18" s="1" t="n">
        <v>46200</v>
      </c>
      <c r="D18" t="inlineStr">
        <is>
          <t>NORRBOTTENS LÄN</t>
        </is>
      </c>
      <c r="E18" t="inlineStr">
        <is>
          <t>KIRUNA</t>
        </is>
      </c>
      <c r="G18" t="n">
        <v>7.5</v>
      </c>
      <c r="H18" t="n">
        <v>0</v>
      </c>
      <c r="I18" t="n">
        <v>0</v>
      </c>
      <c r="J18" t="n">
        <v>1</v>
      </c>
      <c r="K18" t="n">
        <v>0</v>
      </c>
      <c r="L18" t="n">
        <v>0</v>
      </c>
      <c r="M18" t="n">
        <v>0</v>
      </c>
      <c r="N18" t="n">
        <v>0</v>
      </c>
      <c r="O18" t="n">
        <v>1</v>
      </c>
      <c r="P18" t="n">
        <v>0</v>
      </c>
      <c r="Q18" t="n">
        <v>1</v>
      </c>
      <c r="R18" s="2" t="inlineStr">
        <is>
          <t>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16024-2024</t>
        </is>
      </c>
      <c r="B19" s="1" t="n">
        <v>45405</v>
      </c>
      <c r="C19" s="1" t="n">
        <v>46200</v>
      </c>
      <c r="D19" t="inlineStr">
        <is>
          <t>NORRBOTTENS LÄN</t>
        </is>
      </c>
      <c r="E19" t="inlineStr">
        <is>
          <t>KIRUNA</t>
        </is>
      </c>
      <c r="G19" t="n">
        <v>2.3</v>
      </c>
      <c r="H19" t="n">
        <v>0</v>
      </c>
      <c r="I19" t="n">
        <v>0</v>
      </c>
      <c r="J19" t="n">
        <v>1</v>
      </c>
      <c r="K19" t="n">
        <v>0</v>
      </c>
      <c r="L19" t="n">
        <v>0</v>
      </c>
      <c r="M19" t="n">
        <v>0</v>
      </c>
      <c r="N19" t="n">
        <v>0</v>
      </c>
      <c r="O19" t="n">
        <v>1</v>
      </c>
      <c r="P19" t="n">
        <v>0</v>
      </c>
      <c r="Q19" t="n">
        <v>1</v>
      </c>
      <c r="R19" s="2" t="inlineStr">
        <is>
          <t>Vedskivlav</t>
        </is>
      </c>
      <c r="S19">
        <f>HYPERLINK("https://klasma.github.io/Logging_2584/artfynd/A 16024-2024 artfynd.xlsx", "A 16024-2024")</f>
        <v/>
      </c>
      <c r="T19">
        <f>HYPERLINK("https://klasma.github.io/Logging_2584/kartor/A 16024-2024 karta.png", "A 16024-2024")</f>
        <v/>
      </c>
      <c r="V19">
        <f>HYPERLINK("https://klasma.github.io/Logging_2584/klagomål/A 16024-2024 FSC-klagomål.docx", "A 16024-2024")</f>
        <v/>
      </c>
      <c r="W19">
        <f>HYPERLINK("https://klasma.github.io/Logging_2584/klagomålsmail/A 16024-2024 FSC-klagomål mail.docx", "A 16024-2024")</f>
        <v/>
      </c>
      <c r="X19">
        <f>HYPERLINK("https://klasma.github.io/Logging_2584/tillsyn/A 16024-2024 tillsynsbegäran.docx", "A 16024-2024")</f>
        <v/>
      </c>
      <c r="Y19">
        <f>HYPERLINK("https://klasma.github.io/Logging_2584/tillsynsmail/A 16024-2024 tillsynsbegäran mail.docx", "A 16024-2024")</f>
        <v/>
      </c>
    </row>
    <row r="20" ht="15" customHeight="1">
      <c r="A20" t="inlineStr">
        <is>
          <t>A 5842-2023</t>
        </is>
      </c>
      <c r="B20" s="1" t="n">
        <v>44958</v>
      </c>
      <c r="C20" s="1" t="n">
        <v>46200</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61066-2024</t>
        </is>
      </c>
      <c r="B21" s="1" t="n">
        <v>45645</v>
      </c>
      <c r="C21" s="1" t="n">
        <v>46200</v>
      </c>
      <c r="D21" t="inlineStr">
        <is>
          <t>NORRBOTTENS LÄN</t>
        </is>
      </c>
      <c r="E21" t="inlineStr">
        <is>
          <t>KIRUNA</t>
        </is>
      </c>
      <c r="G21" t="n">
        <v>4.5</v>
      </c>
      <c r="H21" t="n">
        <v>1</v>
      </c>
      <c r="I21" t="n">
        <v>0</v>
      </c>
      <c r="J21" t="n">
        <v>0</v>
      </c>
      <c r="K21" t="n">
        <v>0</v>
      </c>
      <c r="L21" t="n">
        <v>0</v>
      </c>
      <c r="M21" t="n">
        <v>0</v>
      </c>
      <c r="N21" t="n">
        <v>0</v>
      </c>
      <c r="O21" t="n">
        <v>0</v>
      </c>
      <c r="P21" t="n">
        <v>0</v>
      </c>
      <c r="Q21" t="n">
        <v>1</v>
      </c>
      <c r="R21" s="2" t="inlineStr">
        <is>
          <t>Tjäder</t>
        </is>
      </c>
      <c r="S21">
        <f>HYPERLINK("https://klasma.github.io/Logging_2584/artfynd/A 61066-2024 artfynd.xlsx", "A 61066-2024")</f>
        <v/>
      </c>
      <c r="T21">
        <f>HYPERLINK("https://klasma.github.io/Logging_2584/kartor/A 61066-2024 karta.png", "A 61066-2024")</f>
        <v/>
      </c>
      <c r="V21">
        <f>HYPERLINK("https://klasma.github.io/Logging_2584/klagomål/A 61066-2024 FSC-klagomål.docx", "A 61066-2024")</f>
        <v/>
      </c>
      <c r="W21">
        <f>HYPERLINK("https://klasma.github.io/Logging_2584/klagomålsmail/A 61066-2024 FSC-klagomål mail.docx", "A 61066-2024")</f>
        <v/>
      </c>
      <c r="X21">
        <f>HYPERLINK("https://klasma.github.io/Logging_2584/tillsyn/A 61066-2024 tillsynsbegäran.docx", "A 61066-2024")</f>
        <v/>
      </c>
      <c r="Y21">
        <f>HYPERLINK("https://klasma.github.io/Logging_2584/tillsynsmail/A 61066-2024 tillsynsbegäran mail.docx", "A 61066-2024")</f>
        <v/>
      </c>
      <c r="Z21">
        <f>HYPERLINK("https://klasma.github.io/Logging_2584/fåglar/A 61066-2024 prioriterade fågelarter.docx", "A 61066-2024")</f>
        <v/>
      </c>
    </row>
    <row r="22" ht="15" customHeight="1">
      <c r="A22" t="inlineStr">
        <is>
          <t>A 60064-2023</t>
        </is>
      </c>
      <c r="B22" s="1" t="n">
        <v>45258</v>
      </c>
      <c r="C22" s="1" t="n">
        <v>46200</v>
      </c>
      <c r="D22" t="inlineStr">
        <is>
          <t>NORRBOTTENS LÄN</t>
        </is>
      </c>
      <c r="E22" t="inlineStr">
        <is>
          <t>KIRUNA</t>
        </is>
      </c>
      <c r="G22" t="n">
        <v>19.8</v>
      </c>
      <c r="H22" t="n">
        <v>1</v>
      </c>
      <c r="I22" t="n">
        <v>0</v>
      </c>
      <c r="J22" t="n">
        <v>0</v>
      </c>
      <c r="K22" t="n">
        <v>0</v>
      </c>
      <c r="L22" t="n">
        <v>0</v>
      </c>
      <c r="M22" t="n">
        <v>0</v>
      </c>
      <c r="N22" t="n">
        <v>0</v>
      </c>
      <c r="O22" t="n">
        <v>0</v>
      </c>
      <c r="P22" t="n">
        <v>0</v>
      </c>
      <c r="Q22" t="n">
        <v>1</v>
      </c>
      <c r="R22" s="2" t="inlineStr">
        <is>
          <t>Tjäder</t>
        </is>
      </c>
      <c r="S22">
        <f>HYPERLINK("https://klasma.github.io/Logging_2584/artfynd/A 60064-2023 artfynd.xlsx", "A 60064-2023")</f>
        <v/>
      </c>
      <c r="T22">
        <f>HYPERLINK("https://klasma.github.io/Logging_2584/kartor/A 60064-2023 karta.png", "A 60064-2023")</f>
        <v/>
      </c>
      <c r="V22">
        <f>HYPERLINK("https://klasma.github.io/Logging_2584/klagomål/A 60064-2023 FSC-klagomål.docx", "A 60064-2023")</f>
        <v/>
      </c>
      <c r="W22">
        <f>HYPERLINK("https://klasma.github.io/Logging_2584/klagomålsmail/A 60064-2023 FSC-klagomål mail.docx", "A 60064-2023")</f>
        <v/>
      </c>
      <c r="X22">
        <f>HYPERLINK("https://klasma.github.io/Logging_2584/tillsyn/A 60064-2023 tillsynsbegäran.docx", "A 60064-2023")</f>
        <v/>
      </c>
      <c r="Y22">
        <f>HYPERLINK("https://klasma.github.io/Logging_2584/tillsynsmail/A 60064-2023 tillsynsbegäran mail.docx", "A 60064-2023")</f>
        <v/>
      </c>
      <c r="Z22">
        <f>HYPERLINK("https://klasma.github.io/Logging_2584/fåglar/A 60064-2023 prioriterade fågelarter.docx", "A 60064-2023")</f>
        <v/>
      </c>
    </row>
    <row r="23" ht="15" customHeight="1">
      <c r="A23" t="inlineStr">
        <is>
          <t>A 2660-2026</t>
        </is>
      </c>
      <c r="B23" s="1" t="n">
        <v>46037</v>
      </c>
      <c r="C23" s="1" t="n">
        <v>46200</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46200</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46200</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46200</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46200</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46200</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46200</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46200</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46200</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46200</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5533-2024</t>
        </is>
      </c>
      <c r="B33" s="1" t="n">
        <v>45334</v>
      </c>
      <c r="C33" s="1" t="n">
        <v>46200</v>
      </c>
      <c r="D33" t="inlineStr">
        <is>
          <t>NORRBOTTENS LÄN</t>
        </is>
      </c>
      <c r="E33" t="inlineStr">
        <is>
          <t>KIRUNA</t>
        </is>
      </c>
      <c r="G33" t="n">
        <v>2.4</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46200</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46200</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46200</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28707-2022</t>
        </is>
      </c>
      <c r="B37" s="1" t="n">
        <v>44748</v>
      </c>
      <c r="C37" s="1" t="n">
        <v>46200</v>
      </c>
      <c r="D37" t="inlineStr">
        <is>
          <t>NORRBOTTENS LÄN</t>
        </is>
      </c>
      <c r="E37" t="inlineStr">
        <is>
          <t>KIRUNA</t>
        </is>
      </c>
      <c r="G37" t="n">
        <v>15.2</v>
      </c>
      <c r="H37" t="n">
        <v>0</v>
      </c>
      <c r="I37" t="n">
        <v>0</v>
      </c>
      <c r="J37" t="n">
        <v>0</v>
      </c>
      <c r="K37" t="n">
        <v>0</v>
      </c>
      <c r="L37" t="n">
        <v>0</v>
      </c>
      <c r="M37" t="n">
        <v>0</v>
      </c>
      <c r="N37" t="n">
        <v>0</v>
      </c>
      <c r="O37" t="n">
        <v>0</v>
      </c>
      <c r="P37" t="n">
        <v>0</v>
      </c>
      <c r="Q37" t="n">
        <v>0</v>
      </c>
      <c r="R37" s="2" t="inlineStr"/>
    </row>
    <row r="38" ht="15" customHeight="1">
      <c r="A38" t="inlineStr">
        <is>
          <t>A 9068-2023</t>
        </is>
      </c>
      <c r="B38" s="1" t="n">
        <v>44979</v>
      </c>
      <c r="C38" s="1" t="n">
        <v>46200</v>
      </c>
      <c r="D38" t="inlineStr">
        <is>
          <t>NORRBOTTENS LÄN</t>
        </is>
      </c>
      <c r="E38" t="inlineStr">
        <is>
          <t>KIRUNA</t>
        </is>
      </c>
      <c r="F38" t="inlineStr">
        <is>
          <t>SCA</t>
        </is>
      </c>
      <c r="G38" t="n">
        <v>4.6</v>
      </c>
      <c r="H38" t="n">
        <v>0</v>
      </c>
      <c r="I38" t="n">
        <v>0</v>
      </c>
      <c r="J38" t="n">
        <v>0</v>
      </c>
      <c r="K38" t="n">
        <v>0</v>
      </c>
      <c r="L38" t="n">
        <v>0</v>
      </c>
      <c r="M38" t="n">
        <v>0</v>
      </c>
      <c r="N38" t="n">
        <v>0</v>
      </c>
      <c r="O38" t="n">
        <v>0</v>
      </c>
      <c r="P38" t="n">
        <v>0</v>
      </c>
      <c r="Q38" t="n">
        <v>0</v>
      </c>
      <c r="R38" s="2" t="inlineStr"/>
    </row>
    <row r="39" ht="15" customHeight="1">
      <c r="A39" t="inlineStr">
        <is>
          <t>A 93-2024</t>
        </is>
      </c>
      <c r="B39" s="1" t="n">
        <v>45293</v>
      </c>
      <c r="C39" s="1" t="n">
        <v>46200</v>
      </c>
      <c r="D39" t="inlineStr">
        <is>
          <t>NORRBOTTENS LÄN</t>
        </is>
      </c>
      <c r="E39" t="inlineStr">
        <is>
          <t>KIRUNA</t>
        </is>
      </c>
      <c r="G39" t="n">
        <v>0.8</v>
      </c>
      <c r="H39" t="n">
        <v>0</v>
      </c>
      <c r="I39" t="n">
        <v>0</v>
      </c>
      <c r="J39" t="n">
        <v>0</v>
      </c>
      <c r="K39" t="n">
        <v>0</v>
      </c>
      <c r="L39" t="n">
        <v>0</v>
      </c>
      <c r="M39" t="n">
        <v>0</v>
      </c>
      <c r="N39" t="n">
        <v>0</v>
      </c>
      <c r="O39" t="n">
        <v>0</v>
      </c>
      <c r="P39" t="n">
        <v>0</v>
      </c>
      <c r="Q39" t="n">
        <v>0</v>
      </c>
      <c r="R39" s="2" t="inlineStr"/>
    </row>
    <row r="40" ht="15" customHeight="1">
      <c r="A40" t="inlineStr">
        <is>
          <t>A 20558-2025</t>
        </is>
      </c>
      <c r="B40" s="1" t="n">
        <v>45775</v>
      </c>
      <c r="C40" s="1" t="n">
        <v>46200</v>
      </c>
      <c r="D40" t="inlineStr">
        <is>
          <t>NORRBOTTENS LÄN</t>
        </is>
      </c>
      <c r="E40" t="inlineStr">
        <is>
          <t>KIRUNA</t>
        </is>
      </c>
      <c r="G40" t="n">
        <v>23.3</v>
      </c>
      <c r="H40" t="n">
        <v>0</v>
      </c>
      <c r="I40" t="n">
        <v>0</v>
      </c>
      <c r="J40" t="n">
        <v>0</v>
      </c>
      <c r="K40" t="n">
        <v>0</v>
      </c>
      <c r="L40" t="n">
        <v>0</v>
      </c>
      <c r="M40" t="n">
        <v>0</v>
      </c>
      <c r="N40" t="n">
        <v>0</v>
      </c>
      <c r="O40" t="n">
        <v>0</v>
      </c>
      <c r="P40" t="n">
        <v>0</v>
      </c>
      <c r="Q40" t="n">
        <v>0</v>
      </c>
      <c r="R40" s="2" t="inlineStr"/>
    </row>
    <row r="41" ht="15" customHeight="1">
      <c r="A41" t="inlineStr">
        <is>
          <t>A 23469-2022</t>
        </is>
      </c>
      <c r="B41" s="1" t="n">
        <v>44721</v>
      </c>
      <c r="C41" s="1" t="n">
        <v>46200</v>
      </c>
      <c r="D41" t="inlineStr">
        <is>
          <t>NORRBOTTENS LÄN</t>
        </is>
      </c>
      <c r="E41" t="inlineStr">
        <is>
          <t>KIRUNA</t>
        </is>
      </c>
      <c r="G41" t="n">
        <v>11.8</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46200</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39006-2023</t>
        </is>
      </c>
      <c r="B43" s="1" t="n">
        <v>45162</v>
      </c>
      <c r="C43" s="1" t="n">
        <v>46200</v>
      </c>
      <c r="D43" t="inlineStr">
        <is>
          <t>NORRBOTTENS LÄN</t>
        </is>
      </c>
      <c r="E43" t="inlineStr">
        <is>
          <t>KIRUNA</t>
        </is>
      </c>
      <c r="G43" t="n">
        <v>1.6</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46200</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39271-2023</t>
        </is>
      </c>
      <c r="B45" s="1" t="n">
        <v>45162</v>
      </c>
      <c r="C45" s="1" t="n">
        <v>46200</v>
      </c>
      <c r="D45" t="inlineStr">
        <is>
          <t>NORRBOTTENS LÄN</t>
        </is>
      </c>
      <c r="E45" t="inlineStr">
        <is>
          <t>KIRUNA</t>
        </is>
      </c>
      <c r="G45" t="n">
        <v>51.9</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46200</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18712-2025</t>
        </is>
      </c>
      <c r="B47" s="1" t="n">
        <v>45763</v>
      </c>
      <c r="C47" s="1" t="n">
        <v>46200</v>
      </c>
      <c r="D47" t="inlineStr">
        <is>
          <t>NORRBOTTENS LÄN</t>
        </is>
      </c>
      <c r="E47" t="inlineStr">
        <is>
          <t>KIRUNA</t>
        </is>
      </c>
      <c r="G47" t="n">
        <v>66.5</v>
      </c>
      <c r="H47" t="n">
        <v>0</v>
      </c>
      <c r="I47" t="n">
        <v>0</v>
      </c>
      <c r="J47" t="n">
        <v>0</v>
      </c>
      <c r="K47" t="n">
        <v>0</v>
      </c>
      <c r="L47" t="n">
        <v>0</v>
      </c>
      <c r="M47" t="n">
        <v>0</v>
      </c>
      <c r="N47" t="n">
        <v>0</v>
      </c>
      <c r="O47" t="n">
        <v>0</v>
      </c>
      <c r="P47" t="n">
        <v>0</v>
      </c>
      <c r="Q47" t="n">
        <v>0</v>
      </c>
      <c r="R47" s="2" t="inlineStr"/>
    </row>
    <row r="48" ht="15" customHeight="1">
      <c r="A48" t="inlineStr">
        <is>
          <t>A 20744-2024</t>
        </is>
      </c>
      <c r="B48" s="1" t="n">
        <v>45436</v>
      </c>
      <c r="C48" s="1" t="n">
        <v>46200</v>
      </c>
      <c r="D48" t="inlineStr">
        <is>
          <t>NORRBOTTENS LÄN</t>
        </is>
      </c>
      <c r="E48" t="inlineStr">
        <is>
          <t>KIRUNA</t>
        </is>
      </c>
      <c r="G48" t="n">
        <v>9.699999999999999</v>
      </c>
      <c r="H48" t="n">
        <v>0</v>
      </c>
      <c r="I48" t="n">
        <v>0</v>
      </c>
      <c r="J48" t="n">
        <v>0</v>
      </c>
      <c r="K48" t="n">
        <v>0</v>
      </c>
      <c r="L48" t="n">
        <v>0</v>
      </c>
      <c r="M48" t="n">
        <v>0</v>
      </c>
      <c r="N48" t="n">
        <v>0</v>
      </c>
      <c r="O48" t="n">
        <v>0</v>
      </c>
      <c r="P48" t="n">
        <v>0</v>
      </c>
      <c r="Q48" t="n">
        <v>0</v>
      </c>
      <c r="R48" s="2" t="inlineStr"/>
    </row>
    <row r="49" ht="15" customHeight="1">
      <c r="A49" t="inlineStr">
        <is>
          <t>A 56168-2023</t>
        </is>
      </c>
      <c r="B49" s="1" t="n">
        <v>45236</v>
      </c>
      <c r="C49" s="1" t="n">
        <v>46200</v>
      </c>
      <c r="D49" t="inlineStr">
        <is>
          <t>NORRBOTTENS LÄN</t>
        </is>
      </c>
      <c r="E49" t="inlineStr">
        <is>
          <t>KIRUNA</t>
        </is>
      </c>
      <c r="F49" t="inlineStr">
        <is>
          <t>Sveaskog</t>
        </is>
      </c>
      <c r="G49" t="n">
        <v>6.6</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46200</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46200</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34693-2022</t>
        </is>
      </c>
      <c r="B52" s="1" t="n">
        <v>44795</v>
      </c>
      <c r="C52" s="1" t="n">
        <v>46200</v>
      </c>
      <c r="D52" t="inlineStr">
        <is>
          <t>NORRBOTTENS LÄN</t>
        </is>
      </c>
      <c r="E52" t="inlineStr">
        <is>
          <t>KIRUNA</t>
        </is>
      </c>
      <c r="G52" t="n">
        <v>12.3</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46200</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18737-2023</t>
        </is>
      </c>
      <c r="B54" s="1" t="n">
        <v>45042</v>
      </c>
      <c r="C54" s="1" t="n">
        <v>46200</v>
      </c>
      <c r="D54" t="inlineStr">
        <is>
          <t>NORRBOTTENS LÄN</t>
        </is>
      </c>
      <c r="E54" t="inlineStr">
        <is>
          <t>KIRUNA</t>
        </is>
      </c>
      <c r="F54" t="inlineStr">
        <is>
          <t>Sveaskog</t>
        </is>
      </c>
      <c r="G54" t="n">
        <v>10.7</v>
      </c>
      <c r="H54" t="n">
        <v>0</v>
      </c>
      <c r="I54" t="n">
        <v>0</v>
      </c>
      <c r="J54" t="n">
        <v>0</v>
      </c>
      <c r="K54" t="n">
        <v>0</v>
      </c>
      <c r="L54" t="n">
        <v>0</v>
      </c>
      <c r="M54" t="n">
        <v>0</v>
      </c>
      <c r="N54" t="n">
        <v>0</v>
      </c>
      <c r="O54" t="n">
        <v>0</v>
      </c>
      <c r="P54" t="n">
        <v>0</v>
      </c>
      <c r="Q54" t="n">
        <v>0</v>
      </c>
      <c r="R54" s="2" t="inlineStr"/>
    </row>
    <row r="55" ht="15" customHeight="1">
      <c r="A55" t="inlineStr">
        <is>
          <t>A 18721-2024</t>
        </is>
      </c>
      <c r="B55" s="1" t="n">
        <v>45426</v>
      </c>
      <c r="C55" s="1" t="n">
        <v>46200</v>
      </c>
      <c r="D55" t="inlineStr">
        <is>
          <t>NORRBOTTENS LÄN</t>
        </is>
      </c>
      <c r="E55" t="inlineStr">
        <is>
          <t>KIRUNA</t>
        </is>
      </c>
      <c r="G55" t="n">
        <v>62.1</v>
      </c>
      <c r="H55" t="n">
        <v>0</v>
      </c>
      <c r="I55" t="n">
        <v>0</v>
      </c>
      <c r="J55" t="n">
        <v>0</v>
      </c>
      <c r="K55" t="n">
        <v>0</v>
      </c>
      <c r="L55" t="n">
        <v>0</v>
      </c>
      <c r="M55" t="n">
        <v>0</v>
      </c>
      <c r="N55" t="n">
        <v>0</v>
      </c>
      <c r="O55" t="n">
        <v>0</v>
      </c>
      <c r="P55" t="n">
        <v>0</v>
      </c>
      <c r="Q55" t="n">
        <v>0</v>
      </c>
      <c r="R55" s="2" t="inlineStr"/>
    </row>
    <row r="56" ht="15" customHeight="1">
      <c r="A56" t="inlineStr">
        <is>
          <t>A 33183-2025</t>
        </is>
      </c>
      <c r="B56" s="1" t="n">
        <v>45840</v>
      </c>
      <c r="C56" s="1" t="n">
        <v>46200</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34663-2025</t>
        </is>
      </c>
      <c r="B57" s="1" t="n">
        <v>45848</v>
      </c>
      <c r="C57" s="1" t="n">
        <v>46200</v>
      </c>
      <c r="D57" t="inlineStr">
        <is>
          <t>NORRBOTTENS LÄN</t>
        </is>
      </c>
      <c r="E57" t="inlineStr">
        <is>
          <t>KIRUNA</t>
        </is>
      </c>
      <c r="G57" t="n">
        <v>5.1</v>
      </c>
      <c r="H57" t="n">
        <v>0</v>
      </c>
      <c r="I57" t="n">
        <v>0</v>
      </c>
      <c r="J57" t="n">
        <v>0</v>
      </c>
      <c r="K57" t="n">
        <v>0</v>
      </c>
      <c r="L57" t="n">
        <v>0</v>
      </c>
      <c r="M57" t="n">
        <v>0</v>
      </c>
      <c r="N57" t="n">
        <v>0</v>
      </c>
      <c r="O57" t="n">
        <v>0</v>
      </c>
      <c r="P57" t="n">
        <v>0</v>
      </c>
      <c r="Q57" t="n">
        <v>0</v>
      </c>
      <c r="R57" s="2" t="inlineStr"/>
    </row>
    <row r="58" ht="15" customHeight="1">
      <c r="A58" t="inlineStr">
        <is>
          <t>A 34664-2025</t>
        </is>
      </c>
      <c r="B58" s="1" t="n">
        <v>45848</v>
      </c>
      <c r="C58" s="1" t="n">
        <v>46200</v>
      </c>
      <c r="D58" t="inlineStr">
        <is>
          <t>NORRBOTTENS LÄN</t>
        </is>
      </c>
      <c r="E58" t="inlineStr">
        <is>
          <t>KIRUNA</t>
        </is>
      </c>
      <c r="G58" t="n">
        <v>8.4</v>
      </c>
      <c r="H58" t="n">
        <v>0</v>
      </c>
      <c r="I58" t="n">
        <v>0</v>
      </c>
      <c r="J58" t="n">
        <v>0</v>
      </c>
      <c r="K58" t="n">
        <v>0</v>
      </c>
      <c r="L58" t="n">
        <v>0</v>
      </c>
      <c r="M58" t="n">
        <v>0</v>
      </c>
      <c r="N58" t="n">
        <v>0</v>
      </c>
      <c r="O58" t="n">
        <v>0</v>
      </c>
      <c r="P58" t="n">
        <v>0</v>
      </c>
      <c r="Q58" t="n">
        <v>0</v>
      </c>
      <c r="R58" s="2" t="inlineStr"/>
    </row>
    <row r="59" ht="15" customHeight="1">
      <c r="A59" t="inlineStr">
        <is>
          <t>A 13526-2024</t>
        </is>
      </c>
      <c r="B59" s="1" t="n">
        <v>45387</v>
      </c>
      <c r="C59" s="1" t="n">
        <v>46200</v>
      </c>
      <c r="D59" t="inlineStr">
        <is>
          <t>NORRBOTTENS LÄN</t>
        </is>
      </c>
      <c r="E59" t="inlineStr">
        <is>
          <t>KIRUNA</t>
        </is>
      </c>
      <c r="G59" t="n">
        <v>8.199999999999999</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46200</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62439-2022</t>
        </is>
      </c>
      <c r="B61" s="1" t="n">
        <v>44916</v>
      </c>
      <c r="C61" s="1" t="n">
        <v>46200</v>
      </c>
      <c r="D61" t="inlineStr">
        <is>
          <t>NORRBOTTENS LÄN</t>
        </is>
      </c>
      <c r="E61" t="inlineStr">
        <is>
          <t>KIRUNA</t>
        </is>
      </c>
      <c r="G61" t="n">
        <v>3.2</v>
      </c>
      <c r="H61" t="n">
        <v>0</v>
      </c>
      <c r="I61" t="n">
        <v>0</v>
      </c>
      <c r="J61" t="n">
        <v>0</v>
      </c>
      <c r="K61" t="n">
        <v>0</v>
      </c>
      <c r="L61" t="n">
        <v>0</v>
      </c>
      <c r="M61" t="n">
        <v>0</v>
      </c>
      <c r="N61" t="n">
        <v>0</v>
      </c>
      <c r="O61" t="n">
        <v>0</v>
      </c>
      <c r="P61" t="n">
        <v>0</v>
      </c>
      <c r="Q61" t="n">
        <v>0</v>
      </c>
      <c r="R61" s="2" t="inlineStr"/>
    </row>
    <row r="62" ht="15" customHeight="1">
      <c r="A62" t="inlineStr">
        <is>
          <t>A 8350-2025</t>
        </is>
      </c>
      <c r="B62" s="1" t="n">
        <v>45708</v>
      </c>
      <c r="C62" s="1" t="n">
        <v>46200</v>
      </c>
      <c r="D62" t="inlineStr">
        <is>
          <t>NORRBOTTENS LÄN</t>
        </is>
      </c>
      <c r="E62" t="inlineStr">
        <is>
          <t>KIRUNA</t>
        </is>
      </c>
      <c r="F62" t="inlineStr">
        <is>
          <t>Övriga statliga verk och myndigheter</t>
        </is>
      </c>
      <c r="G62" t="n">
        <v>0.8</v>
      </c>
      <c r="H62" t="n">
        <v>0</v>
      </c>
      <c r="I62" t="n">
        <v>0</v>
      </c>
      <c r="J62" t="n">
        <v>0</v>
      </c>
      <c r="K62" t="n">
        <v>0</v>
      </c>
      <c r="L62" t="n">
        <v>0</v>
      </c>
      <c r="M62" t="n">
        <v>0</v>
      </c>
      <c r="N62" t="n">
        <v>0</v>
      </c>
      <c r="O62" t="n">
        <v>0</v>
      </c>
      <c r="P62" t="n">
        <v>0</v>
      </c>
      <c r="Q62" t="n">
        <v>0</v>
      </c>
      <c r="R62" s="2" t="inlineStr"/>
    </row>
    <row r="63" ht="15" customHeight="1">
      <c r="A63" t="inlineStr">
        <is>
          <t>A 20770-2025</t>
        </is>
      </c>
      <c r="B63" s="1" t="n">
        <v>45776</v>
      </c>
      <c r="C63" s="1" t="n">
        <v>46200</v>
      </c>
      <c r="D63" t="inlineStr">
        <is>
          <t>NORRBOTTENS LÄN</t>
        </is>
      </c>
      <c r="E63" t="inlineStr">
        <is>
          <t>KIRUNA</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22504-2024</t>
        </is>
      </c>
      <c r="B64" s="1" t="n">
        <v>45447</v>
      </c>
      <c r="C64" s="1" t="n">
        <v>46200</v>
      </c>
      <c r="D64" t="inlineStr">
        <is>
          <t>NORRBOTTENS LÄN</t>
        </is>
      </c>
      <c r="E64" t="inlineStr">
        <is>
          <t>KIRUNA</t>
        </is>
      </c>
      <c r="G64" t="n">
        <v>15.6</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46200</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46200</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50338-2025</t>
        </is>
      </c>
      <c r="B67" s="1" t="n">
        <v>45944</v>
      </c>
      <c r="C67" s="1" t="n">
        <v>46200</v>
      </c>
      <c r="D67" t="inlineStr">
        <is>
          <t>NORRBOTTENS LÄN</t>
        </is>
      </c>
      <c r="E67" t="inlineStr">
        <is>
          <t>KIRUNA</t>
        </is>
      </c>
      <c r="F67" t="inlineStr">
        <is>
          <t>SCA</t>
        </is>
      </c>
      <c r="G67" t="n">
        <v>22.6</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46200</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46200</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20893-2025</t>
        </is>
      </c>
      <c r="B70" s="1" t="n">
        <v>45776</v>
      </c>
      <c r="C70" s="1" t="n">
        <v>46200</v>
      </c>
      <c r="D70" t="inlineStr">
        <is>
          <t>NORRBOTTENS LÄN</t>
        </is>
      </c>
      <c r="E70" t="inlineStr">
        <is>
          <t>KIRUNA</t>
        </is>
      </c>
      <c r="G70" t="n">
        <v>27.3</v>
      </c>
      <c r="H70" t="n">
        <v>0</v>
      </c>
      <c r="I70" t="n">
        <v>0</v>
      </c>
      <c r="J70" t="n">
        <v>0</v>
      </c>
      <c r="K70" t="n">
        <v>0</v>
      </c>
      <c r="L70" t="n">
        <v>0</v>
      </c>
      <c r="M70" t="n">
        <v>0</v>
      </c>
      <c r="N70" t="n">
        <v>0</v>
      </c>
      <c r="O70" t="n">
        <v>0</v>
      </c>
      <c r="P70" t="n">
        <v>0</v>
      </c>
      <c r="Q70" t="n">
        <v>0</v>
      </c>
      <c r="R70" s="2" t="inlineStr"/>
    </row>
    <row r="71" ht="15" customHeight="1">
      <c r="A71" t="inlineStr">
        <is>
          <t>A 21184-2025</t>
        </is>
      </c>
      <c r="B71" s="1" t="n">
        <v>45777</v>
      </c>
      <c r="C71" s="1" t="n">
        <v>46200</v>
      </c>
      <c r="D71" t="inlineStr">
        <is>
          <t>NORRBOTTENS LÄN</t>
        </is>
      </c>
      <c r="E71" t="inlineStr">
        <is>
          <t>KIRUNA</t>
        </is>
      </c>
      <c r="G71" t="n">
        <v>20.1</v>
      </c>
      <c r="H71" t="n">
        <v>0</v>
      </c>
      <c r="I71" t="n">
        <v>0</v>
      </c>
      <c r="J71" t="n">
        <v>0</v>
      </c>
      <c r="K71" t="n">
        <v>0</v>
      </c>
      <c r="L71" t="n">
        <v>0</v>
      </c>
      <c r="M71" t="n">
        <v>0</v>
      </c>
      <c r="N71" t="n">
        <v>0</v>
      </c>
      <c r="O71" t="n">
        <v>0</v>
      </c>
      <c r="P71" t="n">
        <v>0</v>
      </c>
      <c r="Q71" t="n">
        <v>0</v>
      </c>
      <c r="R71" s="2" t="inlineStr"/>
    </row>
    <row r="72" ht="15" customHeight="1">
      <c r="A72" t="inlineStr">
        <is>
          <t>A 50590-2023</t>
        </is>
      </c>
      <c r="B72" s="1" t="n">
        <v>45217</v>
      </c>
      <c r="C72" s="1" t="n">
        <v>46200</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49704-2024</t>
        </is>
      </c>
      <c r="B73" s="1" t="n">
        <v>45596</v>
      </c>
      <c r="C73" s="1" t="n">
        <v>46200</v>
      </c>
      <c r="D73" t="inlineStr">
        <is>
          <t>NORRBOTTENS LÄN</t>
        </is>
      </c>
      <c r="E73" t="inlineStr">
        <is>
          <t>KIRUNA</t>
        </is>
      </c>
      <c r="G73" t="n">
        <v>17.4</v>
      </c>
      <c r="H73" t="n">
        <v>0</v>
      </c>
      <c r="I73" t="n">
        <v>0</v>
      </c>
      <c r="J73" t="n">
        <v>0</v>
      </c>
      <c r="K73" t="n">
        <v>0</v>
      </c>
      <c r="L73" t="n">
        <v>0</v>
      </c>
      <c r="M73" t="n">
        <v>0</v>
      </c>
      <c r="N73" t="n">
        <v>0</v>
      </c>
      <c r="O73" t="n">
        <v>0</v>
      </c>
      <c r="P73" t="n">
        <v>0</v>
      </c>
      <c r="Q73" t="n">
        <v>0</v>
      </c>
      <c r="R73" s="2" t="inlineStr"/>
    </row>
    <row r="74" ht="15" customHeight="1">
      <c r="A74" t="inlineStr">
        <is>
          <t>A 22491-2024</t>
        </is>
      </c>
      <c r="B74" s="1" t="n">
        <v>45447</v>
      </c>
      <c r="C74" s="1" t="n">
        <v>46200</v>
      </c>
      <c r="D74" t="inlineStr">
        <is>
          <t>NORRBOTTENS LÄN</t>
        </is>
      </c>
      <c r="E74" t="inlineStr">
        <is>
          <t>KIRUNA</t>
        </is>
      </c>
      <c r="G74" t="n">
        <v>9</v>
      </c>
      <c r="H74" t="n">
        <v>0</v>
      </c>
      <c r="I74" t="n">
        <v>0</v>
      </c>
      <c r="J74" t="n">
        <v>0</v>
      </c>
      <c r="K74" t="n">
        <v>0</v>
      </c>
      <c r="L74" t="n">
        <v>0</v>
      </c>
      <c r="M74" t="n">
        <v>0</v>
      </c>
      <c r="N74" t="n">
        <v>0</v>
      </c>
      <c r="O74" t="n">
        <v>0</v>
      </c>
      <c r="P74" t="n">
        <v>0</v>
      </c>
      <c r="Q74" t="n">
        <v>0</v>
      </c>
      <c r="R74" s="2" t="inlineStr"/>
    </row>
    <row r="75" ht="15" customHeight="1">
      <c r="A75" t="inlineStr">
        <is>
          <t>A 148-2026</t>
        </is>
      </c>
      <c r="B75" s="1" t="n">
        <v>46024</v>
      </c>
      <c r="C75" s="1" t="n">
        <v>46200</v>
      </c>
      <c r="D75" t="inlineStr">
        <is>
          <t>NORRBOTTENS LÄN</t>
        </is>
      </c>
      <c r="E75" t="inlineStr">
        <is>
          <t>KIRUNA</t>
        </is>
      </c>
      <c r="G75" t="n">
        <v>10.2</v>
      </c>
      <c r="H75" t="n">
        <v>0</v>
      </c>
      <c r="I75" t="n">
        <v>0</v>
      </c>
      <c r="J75" t="n">
        <v>0</v>
      </c>
      <c r="K75" t="n">
        <v>0</v>
      </c>
      <c r="L75" t="n">
        <v>0</v>
      </c>
      <c r="M75" t="n">
        <v>0</v>
      </c>
      <c r="N75" t="n">
        <v>0</v>
      </c>
      <c r="O75" t="n">
        <v>0</v>
      </c>
      <c r="P75" t="n">
        <v>0</v>
      </c>
      <c r="Q75" t="n">
        <v>0</v>
      </c>
      <c r="R75" s="2" t="inlineStr"/>
    </row>
    <row r="76" ht="15" customHeight="1">
      <c r="A76" t="inlineStr">
        <is>
          <t>A 2664-2026</t>
        </is>
      </c>
      <c r="B76" s="1" t="n">
        <v>46037</v>
      </c>
      <c r="C76" s="1" t="n">
        <v>46200</v>
      </c>
      <c r="D76" t="inlineStr">
        <is>
          <t>NORRBOTTENS LÄN</t>
        </is>
      </c>
      <c r="E76" t="inlineStr">
        <is>
          <t>KIRUNA</t>
        </is>
      </c>
      <c r="G76" t="n">
        <v>31.3</v>
      </c>
      <c r="H76" t="n">
        <v>0</v>
      </c>
      <c r="I76" t="n">
        <v>0</v>
      </c>
      <c r="J76" t="n">
        <v>0</v>
      </c>
      <c r="K76" t="n">
        <v>0</v>
      </c>
      <c r="L76" t="n">
        <v>0</v>
      </c>
      <c r="M76" t="n">
        <v>0</v>
      </c>
      <c r="N76" t="n">
        <v>0</v>
      </c>
      <c r="O76" t="n">
        <v>0</v>
      </c>
      <c r="P76" t="n">
        <v>0</v>
      </c>
      <c r="Q76" t="n">
        <v>0</v>
      </c>
      <c r="R76" s="2" t="inlineStr"/>
    </row>
    <row r="77" ht="15" customHeight="1">
      <c r="A77" t="inlineStr">
        <is>
          <t>A 13405-2026</t>
        </is>
      </c>
      <c r="B77" s="1" t="n">
        <v>46094</v>
      </c>
      <c r="C77" s="1" t="n">
        <v>46200</v>
      </c>
      <c r="D77" t="inlineStr">
        <is>
          <t>NORRBOTTENS LÄN</t>
        </is>
      </c>
      <c r="E77" t="inlineStr">
        <is>
          <t>KIRUNA</t>
        </is>
      </c>
      <c r="G77" t="n">
        <v>24.5</v>
      </c>
      <c r="H77" t="n">
        <v>0</v>
      </c>
      <c r="I77" t="n">
        <v>0</v>
      </c>
      <c r="J77" t="n">
        <v>0</v>
      </c>
      <c r="K77" t="n">
        <v>0</v>
      </c>
      <c r="L77" t="n">
        <v>0</v>
      </c>
      <c r="M77" t="n">
        <v>0</v>
      </c>
      <c r="N77" t="n">
        <v>0</v>
      </c>
      <c r="O77" t="n">
        <v>0</v>
      </c>
      <c r="P77" t="n">
        <v>0</v>
      </c>
      <c r="Q77" t="n">
        <v>0</v>
      </c>
      <c r="R77" s="2" t="inlineStr"/>
    </row>
    <row r="78" ht="15" customHeight="1">
      <c r="A78" t="inlineStr">
        <is>
          <t>A 16197-2026</t>
        </is>
      </c>
      <c r="B78" s="1" t="n">
        <v>46108</v>
      </c>
      <c r="C78" s="1" t="n">
        <v>46200</v>
      </c>
      <c r="D78" t="inlineStr">
        <is>
          <t>NORRBOTTENS LÄN</t>
        </is>
      </c>
      <c r="E78" t="inlineStr">
        <is>
          <t>KIRUNA</t>
        </is>
      </c>
      <c r="F78" t="inlineStr">
        <is>
          <t>Övriga statliga verk och myndigheter</t>
        </is>
      </c>
      <c r="G78" t="n">
        <v>1.7</v>
      </c>
      <c r="H78" t="n">
        <v>0</v>
      </c>
      <c r="I78" t="n">
        <v>0</v>
      </c>
      <c r="J78" t="n">
        <v>0</v>
      </c>
      <c r="K78" t="n">
        <v>0</v>
      </c>
      <c r="L78" t="n">
        <v>0</v>
      </c>
      <c r="M78" t="n">
        <v>0</v>
      </c>
      <c r="N78" t="n">
        <v>0</v>
      </c>
      <c r="O78" t="n">
        <v>0</v>
      </c>
      <c r="P78" t="n">
        <v>0</v>
      </c>
      <c r="Q78" t="n">
        <v>0</v>
      </c>
      <c r="R78" s="2" t="inlineStr"/>
    </row>
    <row r="79" ht="15" customHeight="1">
      <c r="A79" t="inlineStr">
        <is>
          <t>A 18388-2026</t>
        </is>
      </c>
      <c r="B79" s="1" t="n">
        <v>46126</v>
      </c>
      <c r="C79" s="1" t="n">
        <v>46200</v>
      </c>
      <c r="D79" t="inlineStr">
        <is>
          <t>NORRBOTTENS LÄN</t>
        </is>
      </c>
      <c r="E79" t="inlineStr">
        <is>
          <t>KIRUNA</t>
        </is>
      </c>
      <c r="G79" t="n">
        <v>5.2</v>
      </c>
      <c r="H79" t="n">
        <v>0</v>
      </c>
      <c r="I79" t="n">
        <v>0</v>
      </c>
      <c r="J79" t="n">
        <v>0</v>
      </c>
      <c r="K79" t="n">
        <v>0</v>
      </c>
      <c r="L79" t="n">
        <v>0</v>
      </c>
      <c r="M79" t="n">
        <v>0</v>
      </c>
      <c r="N79" t="n">
        <v>0</v>
      </c>
      <c r="O79" t="n">
        <v>0</v>
      </c>
      <c r="P79" t="n">
        <v>0</v>
      </c>
      <c r="Q79" t="n">
        <v>0</v>
      </c>
      <c r="R79" s="2" t="inlineStr"/>
    </row>
    <row r="80" ht="15" customHeight="1">
      <c r="A80" t="inlineStr">
        <is>
          <t>A 12937-2026</t>
        </is>
      </c>
      <c r="B80" s="1" t="n">
        <v>46092</v>
      </c>
      <c r="C80" s="1" t="n">
        <v>46200</v>
      </c>
      <c r="D80" t="inlineStr">
        <is>
          <t>NORRBOTTENS LÄN</t>
        </is>
      </c>
      <c r="E80" t="inlineStr">
        <is>
          <t>KIRUNA</t>
        </is>
      </c>
      <c r="G80" t="n">
        <v>37.2</v>
      </c>
      <c r="H80" t="n">
        <v>0</v>
      </c>
      <c r="I80" t="n">
        <v>0</v>
      </c>
      <c r="J80" t="n">
        <v>0</v>
      </c>
      <c r="K80" t="n">
        <v>0</v>
      </c>
      <c r="L80" t="n">
        <v>0</v>
      </c>
      <c r="M80" t="n">
        <v>0</v>
      </c>
      <c r="N80" t="n">
        <v>0</v>
      </c>
      <c r="O80" t="n">
        <v>0</v>
      </c>
      <c r="P80" t="n">
        <v>0</v>
      </c>
      <c r="Q80" t="n">
        <v>0</v>
      </c>
      <c r="R80" s="2" t="inlineStr"/>
    </row>
    <row r="81" ht="15" customHeight="1">
      <c r="A81" t="inlineStr">
        <is>
          <t>A 12969-2026</t>
        </is>
      </c>
      <c r="B81" s="1" t="n">
        <v>46092</v>
      </c>
      <c r="C81" s="1" t="n">
        <v>46200</v>
      </c>
      <c r="D81" t="inlineStr">
        <is>
          <t>NORRBOTTENS LÄN</t>
        </is>
      </c>
      <c r="E81" t="inlineStr">
        <is>
          <t>KIRUNA</t>
        </is>
      </c>
      <c r="G81" t="n">
        <v>5</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46200</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ht="15" customHeight="1">
      <c r="A83" t="inlineStr">
        <is>
          <t>A 28533-2026</t>
        </is>
      </c>
      <c r="B83" s="1" t="n">
        <v>46197</v>
      </c>
      <c r="C83" s="1" t="n">
        <v>46200</v>
      </c>
      <c r="D83" t="inlineStr">
        <is>
          <t>NORRBOTTENS LÄN</t>
        </is>
      </c>
      <c r="E83" t="inlineStr">
        <is>
          <t>KIRUNA</t>
        </is>
      </c>
      <c r="G83" t="n">
        <v>54.2</v>
      </c>
      <c r="H83" t="n">
        <v>0</v>
      </c>
      <c r="I83" t="n">
        <v>0</v>
      </c>
      <c r="J83" t="n">
        <v>0</v>
      </c>
      <c r="K83" t="n">
        <v>0</v>
      </c>
      <c r="L83" t="n">
        <v>0</v>
      </c>
      <c r="M83" t="n">
        <v>0</v>
      </c>
      <c r="N83" t="n">
        <v>0</v>
      </c>
      <c r="O83" t="n">
        <v>0</v>
      </c>
      <c r="P83" t="n">
        <v>0</v>
      </c>
      <c r="Q83" t="n">
        <v>0</v>
      </c>
      <c r="R83" s="2" t="inlineStr"/>
    </row>
    <row r="84" ht="15" customHeight="1">
      <c r="A84" t="inlineStr">
        <is>
          <t>A 21268-2026</t>
        </is>
      </c>
      <c r="B84" s="1" t="n">
        <v>46147</v>
      </c>
      <c r="C84" s="1" t="n">
        <v>46200</v>
      </c>
      <c r="D84" t="inlineStr">
        <is>
          <t>NORRBOTTENS LÄN</t>
        </is>
      </c>
      <c r="E84" t="inlineStr">
        <is>
          <t>KIRUNA</t>
        </is>
      </c>
      <c r="G84" t="n">
        <v>35.7</v>
      </c>
      <c r="H84" t="n">
        <v>0</v>
      </c>
      <c r="I84" t="n">
        <v>0</v>
      </c>
      <c r="J84" t="n">
        <v>0</v>
      </c>
      <c r="K84" t="n">
        <v>0</v>
      </c>
      <c r="L84" t="n">
        <v>0</v>
      </c>
      <c r="M84" t="n">
        <v>0</v>
      </c>
      <c r="N84" t="n">
        <v>0</v>
      </c>
      <c r="O84" t="n">
        <v>0</v>
      </c>
      <c r="P84" t="n">
        <v>0</v>
      </c>
      <c r="Q84" t="n">
        <v>0</v>
      </c>
      <c r="R84" s="2" t="inlineStr"/>
    </row>
    <row r="85">
      <c r="A85" t="inlineStr">
        <is>
          <t>A 29048-2026</t>
        </is>
      </c>
      <c r="B85" s="1" t="n">
        <v>46199</v>
      </c>
      <c r="C85" s="1" t="n">
        <v>46200</v>
      </c>
      <c r="D85" t="inlineStr">
        <is>
          <t>NORRBOTTENS LÄN</t>
        </is>
      </c>
      <c r="E85" t="inlineStr">
        <is>
          <t>KIRUNA</t>
        </is>
      </c>
      <c r="G85" t="n">
        <v>16.9</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2026-06-27T00:51:28Z</dcterms:created>
  <dcterms:modified xmlns:dcterms="http://purl.org/dc/terms/" xmlns:xsi="http://www.w3.org/2001/XMLSchema-instance" xsi:type="dcterms:W3CDTF">2026-06-27T00:51:28Z</dcterms:modified>
</cp:coreProperties>
</file>