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46300</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46300</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46300</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46300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46300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46300</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46300</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46300</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46300</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46300</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46300</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46300</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46300</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46300</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46300</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46300</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46300</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46300</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46300</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46300</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46300</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46300</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46300</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2660-2026</t>
        </is>
      </c>
      <c r="B26" t="inlineStr">
        <is>
          <t>avverkningsanmälan</t>
        </is>
      </c>
      <c r="C26" t="inlineStr">
        <is>
          <t>Föryngringsavverkning</t>
        </is>
      </c>
      <c r="D26" s="1" t="n">
        <v>46037</v>
      </c>
      <c r="E26" s="1" t="n">
        <v>46300</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61066-2024</t>
        </is>
      </c>
      <c r="B27" t="inlineStr">
        <is>
          <t>avverkningsanmälan</t>
        </is>
      </c>
      <c r="C27" t="inlineStr">
        <is>
          <t>Föryngringsavverkning</t>
        </is>
      </c>
      <c r="D27" s="1" t="n">
        <v>45645</v>
      </c>
      <c r="E27" s="1" t="n">
        <v>46300</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46300</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4367-2024</t>
        </is>
      </c>
      <c r="B29" t="inlineStr">
        <is>
          <t>avverkningsanmälan</t>
        </is>
      </c>
      <c r="C29" t="inlineStr">
        <is>
          <t>Föryngringsavverkning</t>
        </is>
      </c>
      <c r="D29" s="1" t="n">
        <v>45326</v>
      </c>
      <c r="E29" s="1" t="n">
        <v>46300</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46300</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35757-2026</t>
        </is>
      </c>
      <c r="B31" t="inlineStr">
        <is>
          <t>avverkningsanmälan</t>
        </is>
      </c>
      <c r="C31" t="inlineStr">
        <is>
          <t>Föryngringsavverkning</t>
        </is>
      </c>
      <c r="D31" s="1" t="n">
        <v>46265</v>
      </c>
      <c r="E31" s="1" t="n">
        <v>46300</v>
      </c>
      <c r="F31" t="inlineStr">
        <is>
          <t>NORRBOTTENS LÄN</t>
        </is>
      </c>
      <c r="G31" t="inlineStr">
        <is>
          <t>KIRUNA</t>
        </is>
      </c>
      <c r="I31" t="n">
        <v>6.1</v>
      </c>
      <c r="J31" t="n">
        <v>0</v>
      </c>
      <c r="K31" t="n">
        <v>0</v>
      </c>
      <c r="L31" t="n">
        <v>1</v>
      </c>
      <c r="M31" t="n">
        <v>0</v>
      </c>
      <c r="N31" t="n">
        <v>0</v>
      </c>
      <c r="O31" t="n">
        <v>0</v>
      </c>
      <c r="P31" t="n">
        <v>0</v>
      </c>
      <c r="Q31" t="n">
        <v>1</v>
      </c>
      <c r="R31" t="n">
        <v>0</v>
      </c>
      <c r="S31" t="n">
        <v>1</v>
      </c>
      <c r="T31" t="n">
        <v>1</v>
      </c>
      <c r="U31" t="n">
        <v>0</v>
      </c>
      <c r="V31" s="2" t="inlineStr">
        <is>
          <t>Ullticka</t>
        </is>
      </c>
      <c r="W31">
        <f>HYPERLINK("https://klasma.github.io/Logging_2584/artfynd/A 35757-2026 artfynd.xlsx", "A 35757-2026")</f>
        <v/>
      </c>
      <c r="X31">
        <f>HYPERLINK("https://klasma.github.io/Logging_2584/kartor/A 35757-2026 karta.png", "A 35757-2026")</f>
        <v/>
      </c>
      <c r="Y31">
        <f>HYPERLINK("https://klasma.github.io/Logging_2584/kartor_geotiff/A 35757-2026 georefererad karta.tif", "A 35757-2026")</f>
        <v/>
      </c>
      <c r="AA31">
        <f>HYPERLINK("https://klasma.github.io/Logging_2584/klagomål/A 35757-2026 FSC-klagomål.docx", "A 35757-2026")</f>
        <v/>
      </c>
      <c r="AB31">
        <f>HYPERLINK("https://klasma.github.io/Logging_2584/klagomålsmail/A 35757-2026 FSC-klagomål mail.docx", "A 35757-2026")</f>
        <v/>
      </c>
      <c r="AC31">
        <f>HYPERLINK("https://klasma.github.io/Logging_2584/tillsyn/A 35757-2026 tillsynsbegäran.docx", "A 35757-2026")</f>
        <v/>
      </c>
      <c r="AD31">
        <f>HYPERLINK("https://klasma.github.io/Logging_2584/tillsynsmail/A 35757-2026 tillsynsbegäran mail.docx", "A 35757-2026")</f>
        <v/>
      </c>
    </row>
    <row r="32" ht="15" customHeight="1">
      <c r="A32" t="inlineStr">
        <is>
          <t>A 5842-2023</t>
        </is>
      </c>
      <c r="B32" t="inlineStr">
        <is>
          <t>avverkningsanmälan</t>
        </is>
      </c>
      <c r="C32" t="inlineStr">
        <is>
          <t>Avverkning för annat ändamål</t>
        </is>
      </c>
      <c r="D32" s="1" t="n">
        <v>44958</v>
      </c>
      <c r="E32" s="1" t="n">
        <v>46300</v>
      </c>
      <c r="F32" t="inlineStr">
        <is>
          <t>NORRBOTTENS LÄN</t>
        </is>
      </c>
      <c r="G32" t="inlineStr">
        <is>
          <t>KIRUNA</t>
        </is>
      </c>
      <c r="I32" t="n">
        <v>2.9</v>
      </c>
      <c r="J32" t="n">
        <v>0</v>
      </c>
      <c r="K32" t="n">
        <v>0</v>
      </c>
      <c r="L32" t="n">
        <v>0</v>
      </c>
      <c r="M32" t="n">
        <v>1</v>
      </c>
      <c r="N32" t="n">
        <v>0</v>
      </c>
      <c r="O32" t="n">
        <v>0</v>
      </c>
      <c r="P32" t="n">
        <v>0</v>
      </c>
      <c r="Q32" t="n">
        <v>1</v>
      </c>
      <c r="R32" t="n">
        <v>1</v>
      </c>
      <c r="S32" t="n">
        <v>1</v>
      </c>
      <c r="T32" t="n">
        <v>1</v>
      </c>
      <c r="U32" t="n">
        <v>0</v>
      </c>
      <c r="V32" s="2" t="inlineStr">
        <is>
          <t>Fjällsotlav</t>
        </is>
      </c>
      <c r="W32">
        <f>HYPERLINK("https://klasma.github.io/Logging_2584/artfynd/A 5842-2023 artfynd.xlsx", "A 5842-2023")</f>
        <v/>
      </c>
      <c r="X32">
        <f>HYPERLINK("https://klasma.github.io/Logging_2584/kartor/A 5842-2023 karta.png", "A 5842-2023")</f>
        <v/>
      </c>
      <c r="Y32">
        <f>HYPERLINK("https://klasma.github.io/Logging_2584/kartor_geotiff/A 5842-2023 georefererad karta.tif", "A 5842-2023")</f>
        <v/>
      </c>
      <c r="AA32">
        <f>HYPERLINK("https://klasma.github.io/Logging_2584/klagomål/A 5842-2023 FSC-klagomål.docx", "A 5842-2023")</f>
        <v/>
      </c>
      <c r="AB32">
        <f>HYPERLINK("https://klasma.github.io/Logging_2584/klagomålsmail/A 5842-2023 FSC-klagomål mail.docx", "A 5842-2023")</f>
        <v/>
      </c>
      <c r="AC32">
        <f>HYPERLINK("https://klasma.github.io/Logging_2584/tillsyn/A 5842-2023 tillsynsbegäran.docx", "A 5842-2023")</f>
        <v/>
      </c>
      <c r="AD32">
        <f>HYPERLINK("https://klasma.github.io/Logging_2584/tillsynsmail/A 5842-2023 tillsynsbegäran mail.docx", "A 5842-2023")</f>
        <v/>
      </c>
    </row>
    <row r="33" ht="15" customHeight="1">
      <c r="A33" t="inlineStr">
        <is>
          <t>A 45205-2022</t>
        </is>
      </c>
      <c r="B33" t="inlineStr">
        <is>
          <t>avverkningsanmälan</t>
        </is>
      </c>
      <c r="C33" t="inlineStr">
        <is>
          <t>Avverkning för annat ändamål</t>
        </is>
      </c>
      <c r="D33" s="1" t="n">
        <v>44840</v>
      </c>
      <c r="E33" s="1" t="n">
        <v>46300</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46300</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46300</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46300</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46300</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49704-2024</t>
        </is>
      </c>
      <c r="B38" t="inlineStr">
        <is>
          <t>avverkningsanmälan</t>
        </is>
      </c>
      <c r="C38" t="inlineStr">
        <is>
          <t>Föryngringsavverkning</t>
        </is>
      </c>
      <c r="D38" s="1" t="n">
        <v>45596</v>
      </c>
      <c r="E38" s="1" t="n">
        <v>46300</v>
      </c>
      <c r="F38" t="inlineStr">
        <is>
          <t>NORRBOTTENS LÄN</t>
        </is>
      </c>
      <c r="G38" t="inlineStr">
        <is>
          <t>KIRUNA</t>
        </is>
      </c>
      <c r="I38" t="n">
        <v>17.4</v>
      </c>
      <c r="J38" t="n">
        <v>0</v>
      </c>
      <c r="K38" t="n">
        <v>0</v>
      </c>
      <c r="L38" t="n">
        <v>0</v>
      </c>
      <c r="M38" t="n">
        <v>0</v>
      </c>
      <c r="N38" t="n">
        <v>0</v>
      </c>
      <c r="O38" t="n">
        <v>0</v>
      </c>
      <c r="P38" t="n">
        <v>0</v>
      </c>
      <c r="Q38" t="n">
        <v>0</v>
      </c>
      <c r="R38" t="n">
        <v>0</v>
      </c>
      <c r="S38" t="n">
        <v>0</v>
      </c>
      <c r="T38" t="n">
        <v>0</v>
      </c>
      <c r="U38" t="n">
        <v>0</v>
      </c>
      <c r="V38" s="2" t="inlineStr"/>
    </row>
    <row r="39" ht="15" customHeight="1">
      <c r="A39" t="inlineStr">
        <is>
          <t>A 22491-2024</t>
        </is>
      </c>
      <c r="B39" t="inlineStr">
        <is>
          <t>avverkningsanmälan</t>
        </is>
      </c>
      <c r="C39" t="inlineStr">
        <is>
          <t>Föryngringsavverkning</t>
        </is>
      </c>
      <c r="D39" s="1" t="n">
        <v>45447</v>
      </c>
      <c r="E39" s="1" t="n">
        <v>46300</v>
      </c>
      <c r="F39" t="inlineStr">
        <is>
          <t>NORRBOTTENS LÄN</t>
        </is>
      </c>
      <c r="G39" t="inlineStr">
        <is>
          <t>KIRUNA</t>
        </is>
      </c>
      <c r="I39" t="n">
        <v>9</v>
      </c>
      <c r="J39" t="n">
        <v>0</v>
      </c>
      <c r="K39" t="n">
        <v>0</v>
      </c>
      <c r="L39" t="n">
        <v>0</v>
      </c>
      <c r="M39" t="n">
        <v>0</v>
      </c>
      <c r="N39" t="n">
        <v>0</v>
      </c>
      <c r="O39" t="n">
        <v>0</v>
      </c>
      <c r="P39" t="n">
        <v>0</v>
      </c>
      <c r="Q39" t="n">
        <v>0</v>
      </c>
      <c r="R39" t="n">
        <v>0</v>
      </c>
      <c r="S39" t="n">
        <v>0</v>
      </c>
      <c r="T39" t="n">
        <v>0</v>
      </c>
      <c r="U39" t="n">
        <v>0</v>
      </c>
      <c r="V39" s="2" t="inlineStr"/>
    </row>
    <row r="40" ht="15" customHeight="1">
      <c r="A40" t="inlineStr">
        <is>
          <t>A 148-2026</t>
        </is>
      </c>
      <c r="B40" t="inlineStr">
        <is>
          <t>avverkningsanmälan</t>
        </is>
      </c>
      <c r="C40" t="inlineStr">
        <is>
          <t>Föryngringsavverkning</t>
        </is>
      </c>
      <c r="D40" s="1" t="n">
        <v>46024</v>
      </c>
      <c r="E40" s="1" t="n">
        <v>46300</v>
      </c>
      <c r="F40" t="inlineStr">
        <is>
          <t>NORRBOTTENS LÄN</t>
        </is>
      </c>
      <c r="G40" t="inlineStr">
        <is>
          <t>KIRUNA</t>
        </is>
      </c>
      <c r="I40" t="n">
        <v>10.2</v>
      </c>
      <c r="J40" t="n">
        <v>0</v>
      </c>
      <c r="K40" t="n">
        <v>0</v>
      </c>
      <c r="L40" t="n">
        <v>0</v>
      </c>
      <c r="M40" t="n">
        <v>0</v>
      </c>
      <c r="N40" t="n">
        <v>0</v>
      </c>
      <c r="O40" t="n">
        <v>0</v>
      </c>
      <c r="P40" t="n">
        <v>0</v>
      </c>
      <c r="Q40" t="n">
        <v>0</v>
      </c>
      <c r="R40" t="n">
        <v>0</v>
      </c>
      <c r="S40" t="n">
        <v>0</v>
      </c>
      <c r="T40" t="n">
        <v>0</v>
      </c>
      <c r="U40" t="n">
        <v>0</v>
      </c>
      <c r="V40" s="2" t="inlineStr"/>
    </row>
    <row r="41" ht="15" customHeight="1">
      <c r="A41" t="inlineStr">
        <is>
          <t>A 62460-2022</t>
        </is>
      </c>
      <c r="B41" t="inlineStr">
        <is>
          <t>avverkningsanmälan</t>
        </is>
      </c>
      <c r="C41" t="inlineStr">
        <is>
          <t>Föryngringsavverkning</t>
        </is>
      </c>
      <c r="D41" s="1" t="n">
        <v>44916</v>
      </c>
      <c r="E41" s="1" t="n">
        <v>46300</v>
      </c>
      <c r="F41" t="inlineStr">
        <is>
          <t>NORRBOTTENS LÄN</t>
        </is>
      </c>
      <c r="G41" t="inlineStr">
        <is>
          <t>KIRUNA</t>
        </is>
      </c>
      <c r="I41" t="n">
        <v>13.4</v>
      </c>
      <c r="J41" t="n">
        <v>0</v>
      </c>
      <c r="K41" t="n">
        <v>0</v>
      </c>
      <c r="L41" t="n">
        <v>0</v>
      </c>
      <c r="M41" t="n">
        <v>0</v>
      </c>
      <c r="N41" t="n">
        <v>0</v>
      </c>
      <c r="O41" t="n">
        <v>0</v>
      </c>
      <c r="P41" t="n">
        <v>0</v>
      </c>
      <c r="Q41" t="n">
        <v>0</v>
      </c>
      <c r="R41" t="n">
        <v>0</v>
      </c>
      <c r="S41" t="n">
        <v>0</v>
      </c>
      <c r="T41" t="n">
        <v>0</v>
      </c>
      <c r="U41" t="n">
        <v>0</v>
      </c>
      <c r="V41" s="2" t="inlineStr"/>
    </row>
    <row r="42" ht="15" customHeight="1">
      <c r="A42" t="inlineStr">
        <is>
          <t>A 36939-2022</t>
        </is>
      </c>
      <c r="B42" t="inlineStr">
        <is>
          <t>avverkningsanmälan</t>
        </is>
      </c>
      <c r="C42" t="inlineStr">
        <is>
          <t>Avverkning för annat ändamål</t>
        </is>
      </c>
      <c r="D42" s="1" t="n">
        <v>44805</v>
      </c>
      <c r="E42" s="1" t="n">
        <v>46300</v>
      </c>
      <c r="F42" t="inlineStr">
        <is>
          <t>NORRBOTTENS LÄN</t>
        </is>
      </c>
      <c r="G42" t="inlineStr">
        <is>
          <t>KIRUNA</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2664-2026</t>
        </is>
      </c>
      <c r="B43" t="inlineStr">
        <is>
          <t>avverkningsanmälan</t>
        </is>
      </c>
      <c r="C43" t="inlineStr">
        <is>
          <t>Föryngringsavverkning</t>
        </is>
      </c>
      <c r="D43" s="1" t="n">
        <v>46037</v>
      </c>
      <c r="E43" s="1" t="n">
        <v>46300</v>
      </c>
      <c r="F43" t="inlineStr">
        <is>
          <t>NORRBOTTENS LÄN</t>
        </is>
      </c>
      <c r="G43" t="inlineStr">
        <is>
          <t>KIRUNA</t>
        </is>
      </c>
      <c r="I43" t="n">
        <v>31.3</v>
      </c>
      <c r="J43" t="n">
        <v>0</v>
      </c>
      <c r="K43" t="n">
        <v>0</v>
      </c>
      <c r="L43" t="n">
        <v>0</v>
      </c>
      <c r="M43" t="n">
        <v>0</v>
      </c>
      <c r="N43" t="n">
        <v>0</v>
      </c>
      <c r="O43" t="n">
        <v>0</v>
      </c>
      <c r="P43" t="n">
        <v>0</v>
      </c>
      <c r="Q43" t="n">
        <v>0</v>
      </c>
      <c r="R43" t="n">
        <v>0</v>
      </c>
      <c r="S43" t="n">
        <v>0</v>
      </c>
      <c r="T43" t="n">
        <v>0</v>
      </c>
      <c r="U43" t="n">
        <v>0</v>
      </c>
      <c r="V43" s="2" t="inlineStr"/>
    </row>
    <row r="44" ht="15" customHeight="1">
      <c r="A44" t="inlineStr">
        <is>
          <t>A 50590-2023</t>
        </is>
      </c>
      <c r="B44" t="inlineStr">
        <is>
          <t>avverkningsanmälan</t>
        </is>
      </c>
      <c r="C44" t="inlineStr">
        <is>
          <t>Föryngringsavverkning</t>
        </is>
      </c>
      <c r="D44" s="1" t="n">
        <v>45217</v>
      </c>
      <c r="E44" s="1" t="n">
        <v>46300</v>
      </c>
      <c r="F44" t="inlineStr">
        <is>
          <t>NORRBOTTENS LÄN</t>
        </is>
      </c>
      <c r="G44" t="inlineStr">
        <is>
          <t>KIRUNA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46300</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46300</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21184-2025</t>
        </is>
      </c>
      <c r="B47" t="inlineStr">
        <is>
          <t>avverkningsanmälan</t>
        </is>
      </c>
      <c r="C47" t="inlineStr">
        <is>
          <t>Föryngringsavverkning</t>
        </is>
      </c>
      <c r="D47" s="1" t="n">
        <v>45777</v>
      </c>
      <c r="E47" s="1" t="n">
        <v>46300</v>
      </c>
      <c r="F47" t="inlineStr">
        <is>
          <t>NORRBOTTENS LÄN</t>
        </is>
      </c>
      <c r="G47" t="inlineStr">
        <is>
          <t>KIRUNA</t>
        </is>
      </c>
      <c r="I47" t="n">
        <v>20.1</v>
      </c>
      <c r="J47" t="n">
        <v>0</v>
      </c>
      <c r="K47" t="n">
        <v>0</v>
      </c>
      <c r="L47" t="n">
        <v>0</v>
      </c>
      <c r="M47" t="n">
        <v>0</v>
      </c>
      <c r="N47" t="n">
        <v>0</v>
      </c>
      <c r="O47" t="n">
        <v>0</v>
      </c>
      <c r="P47" t="n">
        <v>0</v>
      </c>
      <c r="Q47" t="n">
        <v>0</v>
      </c>
      <c r="R47" t="n">
        <v>0</v>
      </c>
      <c r="S47" t="n">
        <v>0</v>
      </c>
      <c r="T47" t="n">
        <v>0</v>
      </c>
      <c r="U47" t="n">
        <v>0</v>
      </c>
      <c r="V47" s="2" t="inlineStr"/>
    </row>
    <row r="48" ht="15" customHeight="1">
      <c r="A48" t="inlineStr">
        <is>
          <t>A 13405-2026</t>
        </is>
      </c>
      <c r="B48" t="inlineStr">
        <is>
          <t>avverkningsanmälan</t>
        </is>
      </c>
      <c r="C48" t="inlineStr">
        <is>
          <t>Föryngringsavverkning</t>
        </is>
      </c>
      <c r="D48" s="1" t="n">
        <v>46094</v>
      </c>
      <c r="E48" s="1" t="n">
        <v>46300</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46300</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46300</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46300</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5411-2024</t>
        </is>
      </c>
      <c r="B52" t="inlineStr">
        <is>
          <t>avverkningsanmälan</t>
        </is>
      </c>
      <c r="C52" t="inlineStr">
        <is>
          <t>Föryngringsavverkning</t>
        </is>
      </c>
      <c r="D52" s="1" t="n">
        <v>45331</v>
      </c>
      <c r="E52" s="1" t="n">
        <v>46300</v>
      </c>
      <c r="F52" t="inlineStr">
        <is>
          <t>NORRBOTTENS LÄN</t>
        </is>
      </c>
      <c r="G52" t="inlineStr">
        <is>
          <t>KIRUNA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18388-2026</t>
        </is>
      </c>
      <c r="B53" t="inlineStr">
        <is>
          <t>avverkningsanmälan</t>
        </is>
      </c>
      <c r="C53" t="inlineStr">
        <is>
          <t>Föryngringsavverkning</t>
        </is>
      </c>
      <c r="D53" s="1" t="n">
        <v>46126</v>
      </c>
      <c r="E53" s="1" t="n">
        <v>46300</v>
      </c>
      <c r="F53" t="inlineStr">
        <is>
          <t>NORRBOTTENS LÄN</t>
        </is>
      </c>
      <c r="G53" t="inlineStr">
        <is>
          <t>KIRUNA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12937-2026</t>
        </is>
      </c>
      <c r="B54" t="inlineStr">
        <is>
          <t>avverkningsanmälan</t>
        </is>
      </c>
      <c r="C54" t="inlineStr">
        <is>
          <t>Föryngringsavverkning</t>
        </is>
      </c>
      <c r="D54" s="1" t="n">
        <v>46092</v>
      </c>
      <c r="E54" s="1" t="n">
        <v>46300</v>
      </c>
      <c r="F54" t="inlineStr">
        <is>
          <t>NORRBOTTENS LÄN</t>
        </is>
      </c>
      <c r="G54" t="inlineStr">
        <is>
          <t>KIRUNA</t>
        </is>
      </c>
      <c r="I54" t="n">
        <v>37.2</v>
      </c>
      <c r="J54" t="n">
        <v>0</v>
      </c>
      <c r="K54" t="n">
        <v>0</v>
      </c>
      <c r="L54" t="n">
        <v>0</v>
      </c>
      <c r="M54" t="n">
        <v>0</v>
      </c>
      <c r="N54" t="n">
        <v>0</v>
      </c>
      <c r="O54" t="n">
        <v>0</v>
      </c>
      <c r="P54" t="n">
        <v>0</v>
      </c>
      <c r="Q54" t="n">
        <v>0</v>
      </c>
      <c r="R54" t="n">
        <v>0</v>
      </c>
      <c r="S54" t="n">
        <v>0</v>
      </c>
      <c r="T54" t="n">
        <v>0</v>
      </c>
      <c r="U54" t="n">
        <v>0</v>
      </c>
      <c r="V54" s="2" t="inlineStr"/>
    </row>
    <row r="55" ht="15" customHeight="1">
      <c r="A55" t="inlineStr">
        <is>
          <t>A 28707-2022</t>
        </is>
      </c>
      <c r="B55" t="inlineStr">
        <is>
          <t>avverkningsanmälan</t>
        </is>
      </c>
      <c r="C55" t="inlineStr">
        <is>
          <t>Föryngringsavverkning</t>
        </is>
      </c>
      <c r="D55" s="1" t="n">
        <v>44748</v>
      </c>
      <c r="E55" s="1" t="n">
        <v>46300</v>
      </c>
      <c r="F55" t="inlineStr">
        <is>
          <t>NORRBOTTENS LÄN</t>
        </is>
      </c>
      <c r="G55" t="inlineStr">
        <is>
          <t>KIRUNA</t>
        </is>
      </c>
      <c r="I55" t="n">
        <v>15.2</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46300</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93-2024</t>
        </is>
      </c>
      <c r="B57" t="inlineStr">
        <is>
          <t>avverkningsanmälan</t>
        </is>
      </c>
      <c r="C57" t="inlineStr">
        <is>
          <t>Avverkning för annat ändamål</t>
        </is>
      </c>
      <c r="D57" s="1" t="n">
        <v>45293</v>
      </c>
      <c r="E57" s="1" t="n">
        <v>46300</v>
      </c>
      <c r="F57" t="inlineStr">
        <is>
          <t>NORRBOTTENS LÄN</t>
        </is>
      </c>
      <c r="G57" t="inlineStr">
        <is>
          <t>KIRUNA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39271-2023</t>
        </is>
      </c>
      <c r="B58" t="inlineStr">
        <is>
          <t>avverkningsanmälan</t>
        </is>
      </c>
      <c r="C58" t="inlineStr">
        <is>
          <t>Föryngringsavverkning</t>
        </is>
      </c>
      <c r="D58" s="1" t="n">
        <v>45162</v>
      </c>
      <c r="E58" s="1" t="n">
        <v>46300</v>
      </c>
      <c r="F58" t="inlineStr">
        <is>
          <t>NORRBOTTENS LÄN</t>
        </is>
      </c>
      <c r="G58" t="inlineStr">
        <is>
          <t>KIRUNA</t>
        </is>
      </c>
      <c r="I58" t="n">
        <v>51.9</v>
      </c>
      <c r="J58" t="n">
        <v>0</v>
      </c>
      <c r="K58" t="n">
        <v>0</v>
      </c>
      <c r="L58" t="n">
        <v>0</v>
      </c>
      <c r="M58" t="n">
        <v>0</v>
      </c>
      <c r="N58" t="n">
        <v>0</v>
      </c>
      <c r="O58" t="n">
        <v>0</v>
      </c>
      <c r="P58" t="n">
        <v>0</v>
      </c>
      <c r="Q58" t="n">
        <v>0</v>
      </c>
      <c r="R58" t="n">
        <v>0</v>
      </c>
      <c r="S58" t="n">
        <v>0</v>
      </c>
      <c r="T58" t="n">
        <v>0</v>
      </c>
      <c r="U58" t="n">
        <v>0</v>
      </c>
      <c r="V58" s="2" t="inlineStr"/>
    </row>
    <row r="59" ht="15" customHeight="1">
      <c r="A59" t="inlineStr">
        <is>
          <t>A 34663-2025</t>
        </is>
      </c>
      <c r="B59" t="inlineStr">
        <is>
          <t>avverkningsanmälan</t>
        </is>
      </c>
      <c r="C59" t="inlineStr">
        <is>
          <t>Föryngringsavverkning</t>
        </is>
      </c>
      <c r="D59" s="1" t="n">
        <v>45848</v>
      </c>
      <c r="E59" s="1" t="n">
        <v>46300</v>
      </c>
      <c r="F59" t="inlineStr">
        <is>
          <t>NORRBOTTENS LÄN</t>
        </is>
      </c>
      <c r="G59" t="inlineStr">
        <is>
          <t>KIRUNA</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34664-2025</t>
        </is>
      </c>
      <c r="B60" t="inlineStr">
        <is>
          <t>avverkningsanmälan</t>
        </is>
      </c>
      <c r="C60" t="inlineStr">
        <is>
          <t>Föryngringsavverkning</t>
        </is>
      </c>
      <c r="D60" s="1" t="n">
        <v>45848</v>
      </c>
      <c r="E60" s="1" t="n">
        <v>46300</v>
      </c>
      <c r="F60" t="inlineStr">
        <is>
          <t>NORRBOTTENS LÄN</t>
        </is>
      </c>
      <c r="G60" t="inlineStr">
        <is>
          <t>KIRUNA</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56168-2023</t>
        </is>
      </c>
      <c r="B61" t="inlineStr">
        <is>
          <t>avverkningsanmälan</t>
        </is>
      </c>
      <c r="C61" t="inlineStr">
        <is>
          <t>Avverkning för annat ändamål</t>
        </is>
      </c>
      <c r="D61" s="1" t="n">
        <v>45236</v>
      </c>
      <c r="E61" s="1" t="n">
        <v>46300</v>
      </c>
      <c r="F61" t="inlineStr">
        <is>
          <t>NORRBOTTENS LÄN</t>
        </is>
      </c>
      <c r="G61" t="inlineStr">
        <is>
          <t>KIRUNA</t>
        </is>
      </c>
      <c r="H61" t="inlineStr">
        <is>
          <t>Sveaskog</t>
        </is>
      </c>
      <c r="I61" t="n">
        <v>6.6</v>
      </c>
      <c r="J61" t="n">
        <v>0</v>
      </c>
      <c r="K61" t="n">
        <v>0</v>
      </c>
      <c r="L61" t="n">
        <v>0</v>
      </c>
      <c r="M61" t="n">
        <v>0</v>
      </c>
      <c r="N61" t="n">
        <v>0</v>
      </c>
      <c r="O61" t="n">
        <v>0</v>
      </c>
      <c r="P61" t="n">
        <v>0</v>
      </c>
      <c r="Q61" t="n">
        <v>0</v>
      </c>
      <c r="R61" t="n">
        <v>0</v>
      </c>
      <c r="S61" t="n">
        <v>0</v>
      </c>
      <c r="T61" t="n">
        <v>0</v>
      </c>
      <c r="U61" t="n">
        <v>0</v>
      </c>
      <c r="V61" s="2" t="inlineStr"/>
    </row>
    <row r="62" ht="15" customHeight="1">
      <c r="A62" t="inlineStr">
        <is>
          <t>A 22494-2024</t>
        </is>
      </c>
      <c r="B62" t="inlineStr">
        <is>
          <t>avverkningsanmälan</t>
        </is>
      </c>
      <c r="C62" t="inlineStr">
        <is>
          <t>Föryngringsavverkning</t>
        </is>
      </c>
      <c r="D62" s="1" t="n">
        <v>45447</v>
      </c>
      <c r="E62" s="1" t="n">
        <v>46300</v>
      </c>
      <c r="F62" t="inlineStr">
        <is>
          <t>NORRBOTTENS LÄN</t>
        </is>
      </c>
      <c r="G62" t="inlineStr">
        <is>
          <t>KIRUNA</t>
        </is>
      </c>
      <c r="I62" t="n">
        <v>6</v>
      </c>
      <c r="J62" t="n">
        <v>0</v>
      </c>
      <c r="K62" t="n">
        <v>0</v>
      </c>
      <c r="L62" t="n">
        <v>0</v>
      </c>
      <c r="M62" t="n">
        <v>0</v>
      </c>
      <c r="N62" t="n">
        <v>0</v>
      </c>
      <c r="O62" t="n">
        <v>0</v>
      </c>
      <c r="P62" t="n">
        <v>0</v>
      </c>
      <c r="Q62" t="n">
        <v>0</v>
      </c>
      <c r="R62" t="n">
        <v>0</v>
      </c>
      <c r="S62" t="n">
        <v>0</v>
      </c>
      <c r="T62" t="n">
        <v>0</v>
      </c>
      <c r="U62" t="n">
        <v>0</v>
      </c>
      <c r="V62" s="2" t="inlineStr"/>
    </row>
    <row r="63" ht="15" customHeight="1">
      <c r="A63" t="inlineStr">
        <is>
          <t>A 47730-2024</t>
        </is>
      </c>
      <c r="B63" t="inlineStr">
        <is>
          <t>avverkningsanmälan</t>
        </is>
      </c>
      <c r="C63" t="inlineStr">
        <is>
          <t>Föryngringsavverkning</t>
        </is>
      </c>
      <c r="D63" s="1" t="n">
        <v>45588</v>
      </c>
      <c r="E63" s="1" t="n">
        <v>46300</v>
      </c>
      <c r="F63" t="inlineStr">
        <is>
          <t>NORRBOTTENS LÄN</t>
        </is>
      </c>
      <c r="G63" t="inlineStr">
        <is>
          <t>KIRUNA</t>
        </is>
      </c>
      <c r="H63" t="inlineStr">
        <is>
          <t>Allmännings- och besparingsskogar</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9069-2023</t>
        </is>
      </c>
      <c r="B64" t="inlineStr">
        <is>
          <t>avverkningsanmälan</t>
        </is>
      </c>
      <c r="C64" t="inlineStr">
        <is>
          <t>Föryngringsavverkning</t>
        </is>
      </c>
      <c r="D64" s="1" t="n">
        <v>44979</v>
      </c>
      <c r="E64" s="1" t="n">
        <v>46300</v>
      </c>
      <c r="F64" t="inlineStr">
        <is>
          <t>NORRBOTTENS LÄN</t>
        </is>
      </c>
      <c r="G64" t="inlineStr">
        <is>
          <t>KIRUNA</t>
        </is>
      </c>
      <c r="H64" t="inlineStr">
        <is>
          <t>SCA</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46300</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30594-2026</t>
        </is>
      </c>
      <c r="B66" t="inlineStr">
        <is>
          <t>avverkningsanmälan</t>
        </is>
      </c>
      <c r="C66" t="inlineStr">
        <is>
          <t>Föryngringsavverkning</t>
        </is>
      </c>
      <c r="D66" s="1" t="n">
        <v>46210</v>
      </c>
      <c r="E66" s="1" t="n">
        <v>46300</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30591-2026</t>
        </is>
      </c>
      <c r="B67" t="inlineStr">
        <is>
          <t>avverkningsanmälan</t>
        </is>
      </c>
      <c r="C67" t="inlineStr">
        <is>
          <t>Föryngringsavverkning</t>
        </is>
      </c>
      <c r="D67" s="1" t="n">
        <v>46210</v>
      </c>
      <c r="E67" s="1" t="n">
        <v>46300</v>
      </c>
      <c r="F67" t="inlineStr">
        <is>
          <t>NORRBOTTENS LÄN</t>
        </is>
      </c>
      <c r="G67" t="inlineStr">
        <is>
          <t>KIRUNA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46300</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20744-2024</t>
        </is>
      </c>
      <c r="B69" t="inlineStr">
        <is>
          <t>avverkningsanmälan</t>
        </is>
      </c>
      <c r="C69" t="inlineStr">
        <is>
          <t>Föryngringsavverkning</t>
        </is>
      </c>
      <c r="D69" s="1" t="n">
        <v>45436</v>
      </c>
      <c r="E69" s="1" t="n">
        <v>46300</v>
      </c>
      <c r="F69" t="inlineStr">
        <is>
          <t>NORRBOTTENS LÄN</t>
        </is>
      </c>
      <c r="G69" t="inlineStr">
        <is>
          <t>KIRUNA</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35765-2026</t>
        </is>
      </c>
      <c r="B70" t="inlineStr">
        <is>
          <t>avverkningsanmälan</t>
        </is>
      </c>
      <c r="C70" t="inlineStr">
        <is>
          <t>Föryngringsavverkning</t>
        </is>
      </c>
      <c r="D70" s="1" t="n">
        <v>46265</v>
      </c>
      <c r="E70" s="1" t="n">
        <v>46300</v>
      </c>
      <c r="F70" t="inlineStr">
        <is>
          <t>NORRBOTTENS LÄN</t>
        </is>
      </c>
      <c r="G70" t="inlineStr">
        <is>
          <t>KIRUNA</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18737-2023</t>
        </is>
      </c>
      <c r="B71" t="inlineStr">
        <is>
          <t>avverkningsanmälan</t>
        </is>
      </c>
      <c r="C71" t="inlineStr">
        <is>
          <t>Avverkning för annat ändamål</t>
        </is>
      </c>
      <c r="D71" s="1" t="n">
        <v>45042</v>
      </c>
      <c r="E71" s="1" t="n">
        <v>46300</v>
      </c>
      <c r="F71" t="inlineStr">
        <is>
          <t>NORRBOTTENS LÄN</t>
        </is>
      </c>
      <c r="G71" t="inlineStr">
        <is>
          <t>KIRUNA</t>
        </is>
      </c>
      <c r="H71" t="inlineStr">
        <is>
          <t>Sveaskog</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8350-2025</t>
        </is>
      </c>
      <c r="B72" t="inlineStr">
        <is>
          <t>avverkningsanmälan</t>
        </is>
      </c>
      <c r="C72" t="inlineStr">
        <is>
          <t>Avverkning för annat ändamål</t>
        </is>
      </c>
      <c r="D72" s="1" t="n">
        <v>45708</v>
      </c>
      <c r="E72" s="1" t="n">
        <v>46300</v>
      </c>
      <c r="F72" t="inlineStr">
        <is>
          <t>NORRBOTTENS LÄN</t>
        </is>
      </c>
      <c r="G72" t="inlineStr">
        <is>
          <t>KIRUNA</t>
        </is>
      </c>
      <c r="H72" t="inlineStr">
        <is>
          <t>Övriga statliga verk och myndigheter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46300</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46300</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39321-2026</t>
        </is>
      </c>
      <c r="B75" t="inlineStr">
        <is>
          <t>avverkningsanmälan</t>
        </is>
      </c>
      <c r="C75" t="inlineStr">
        <is>
          <t>Föryngringsavverkning</t>
        </is>
      </c>
      <c r="D75" s="1" t="n">
        <v>46288</v>
      </c>
      <c r="E75" s="1" t="n">
        <v>46300</v>
      </c>
      <c r="F75" t="inlineStr">
        <is>
          <t>NORRBOTTENS LÄN</t>
        </is>
      </c>
      <c r="G75" t="inlineStr">
        <is>
          <t>KIRUNA</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46300</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46300</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62452-2022</t>
        </is>
      </c>
      <c r="B78" t="inlineStr">
        <is>
          <t>avverkningsanmälan</t>
        </is>
      </c>
      <c r="C78" t="inlineStr">
        <is>
          <t>Föryngringsavverkning</t>
        </is>
      </c>
      <c r="D78" s="1" t="n">
        <v>44916</v>
      </c>
      <c r="E78" s="1" t="n">
        <v>46300</v>
      </c>
      <c r="F78" t="inlineStr">
        <is>
          <t>NORRBOTTENS LÄN</t>
        </is>
      </c>
      <c r="G78" t="inlineStr">
        <is>
          <t>KIRUNA</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46300</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38577-2024</t>
        </is>
      </c>
      <c r="B80" t="inlineStr">
        <is>
          <t>avverkningsanmälan</t>
        </is>
      </c>
      <c r="C80" t="inlineStr">
        <is>
          <t>Föryngringsavverkning</t>
        </is>
      </c>
      <c r="D80" s="1" t="n">
        <v>45546</v>
      </c>
      <c r="E80" s="1" t="n">
        <v>46300</v>
      </c>
      <c r="F80" t="inlineStr">
        <is>
          <t>NORRBOTTENS LÄN</t>
        </is>
      </c>
      <c r="G80" t="inlineStr">
        <is>
          <t>KIRUNA</t>
        </is>
      </c>
      <c r="I80" t="n">
        <v>39.8</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46300</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23469-2022</t>
        </is>
      </c>
      <c r="B82" t="inlineStr">
        <is>
          <t>avverkningsanmälan</t>
        </is>
      </c>
      <c r="C82" t="inlineStr">
        <is>
          <t>Föryngringsavverkning</t>
        </is>
      </c>
      <c r="D82" s="1" t="n">
        <v>44721</v>
      </c>
      <c r="E82" s="1" t="n">
        <v>46300</v>
      </c>
      <c r="F82" t="inlineStr">
        <is>
          <t>NORRBOTTENS LÄN</t>
        </is>
      </c>
      <c r="G82" t="inlineStr">
        <is>
          <t>KIRUNA</t>
        </is>
      </c>
      <c r="I82" t="n">
        <v>11.8</v>
      </c>
      <c r="J82" t="n">
        <v>0</v>
      </c>
      <c r="K82" t="n">
        <v>0</v>
      </c>
      <c r="L82" t="n">
        <v>0</v>
      </c>
      <c r="M82" t="n">
        <v>0</v>
      </c>
      <c r="N82" t="n">
        <v>0</v>
      </c>
      <c r="O82" t="n">
        <v>0</v>
      </c>
      <c r="P82" t="n">
        <v>0</v>
      </c>
      <c r="Q82" t="n">
        <v>0</v>
      </c>
      <c r="R82" t="n">
        <v>0</v>
      </c>
      <c r="S82" t="n">
        <v>0</v>
      </c>
      <c r="T82" t="n">
        <v>0</v>
      </c>
      <c r="U82" t="n">
        <v>0</v>
      </c>
      <c r="V82" s="2" t="inlineStr"/>
    </row>
    <row r="83" ht="15" customHeight="1">
      <c r="A83" t="inlineStr">
        <is>
          <t>A 18738-2022</t>
        </is>
      </c>
      <c r="B83" t="inlineStr">
        <is>
          <t>avverkningsanmälan</t>
        </is>
      </c>
      <c r="C83" t="inlineStr">
        <is>
          <t>Avverkning för annat ändamål</t>
        </is>
      </c>
      <c r="D83" s="1" t="n">
        <v>44687</v>
      </c>
      <c r="E83" s="1" t="n">
        <v>46300</v>
      </c>
      <c r="F83" t="inlineStr">
        <is>
          <t>NORRBOTTENS LÄN</t>
        </is>
      </c>
      <c r="G83" t="inlineStr">
        <is>
          <t>KIRUNA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5476-2024</t>
        </is>
      </c>
      <c r="B84" t="inlineStr">
        <is>
          <t>avverkningsanmälan</t>
        </is>
      </c>
      <c r="C84" t="inlineStr">
        <is>
          <t>Föryngringsavverkning</t>
        </is>
      </c>
      <c r="D84" s="1" t="n">
        <v>45333</v>
      </c>
      <c r="E84" s="1" t="n">
        <v>46300</v>
      </c>
      <c r="F84" t="inlineStr">
        <is>
          <t>NORRBOTTENS LÄN</t>
        </is>
      </c>
      <c r="G84" t="inlineStr">
        <is>
          <t>KIRUNA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34693-2022</t>
        </is>
      </c>
      <c r="B85" t="inlineStr">
        <is>
          <t>avverkningsanmälan</t>
        </is>
      </c>
      <c r="C85" t="inlineStr">
        <is>
          <t>Föryngringsavverkning</t>
        </is>
      </c>
      <c r="D85" s="1" t="n">
        <v>44795</v>
      </c>
      <c r="E85" s="1" t="n">
        <v>46300</v>
      </c>
      <c r="F85" t="inlineStr">
        <is>
          <t>NORRBOTTENS LÄN</t>
        </is>
      </c>
      <c r="G85" t="inlineStr">
        <is>
          <t>KIRUNA</t>
        </is>
      </c>
      <c r="I85" t="n">
        <v>12.3</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46300</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18721-2024</t>
        </is>
      </c>
      <c r="B87" t="inlineStr">
        <is>
          <t>avverkningsanmälan</t>
        </is>
      </c>
      <c r="C87" t="inlineStr">
        <is>
          <t>Föryngringsavverkning</t>
        </is>
      </c>
      <c r="D87" s="1" t="n">
        <v>45426</v>
      </c>
      <c r="E87" s="1" t="n">
        <v>46300</v>
      </c>
      <c r="F87" t="inlineStr">
        <is>
          <t>NORRBOTTENS LÄN</t>
        </is>
      </c>
      <c r="G87" t="inlineStr">
        <is>
          <t>KIRUNA</t>
        </is>
      </c>
      <c r="I87" t="n">
        <v>62.1</v>
      </c>
      <c r="J87" t="n">
        <v>0</v>
      </c>
      <c r="K87" t="n">
        <v>0</v>
      </c>
      <c r="L87" t="n">
        <v>0</v>
      </c>
      <c r="M87" t="n">
        <v>0</v>
      </c>
      <c r="N87" t="n">
        <v>0</v>
      </c>
      <c r="O87" t="n">
        <v>0</v>
      </c>
      <c r="P87" t="n">
        <v>0</v>
      </c>
      <c r="Q87" t="n">
        <v>0</v>
      </c>
      <c r="R87" t="n">
        <v>0</v>
      </c>
      <c r="S87" t="n">
        <v>0</v>
      </c>
      <c r="T87" t="n">
        <v>0</v>
      </c>
      <c r="U87" t="n">
        <v>0</v>
      </c>
      <c r="V87" s="2" t="inlineStr"/>
    </row>
    <row r="88" ht="15" customHeight="1">
      <c r="A88" t="inlineStr">
        <is>
          <t>A 13526-2024</t>
        </is>
      </c>
      <c r="B88" t="inlineStr">
        <is>
          <t>avverkningsanmälan</t>
        </is>
      </c>
      <c r="C88" t="inlineStr">
        <is>
          <t>Föryngringsavverkning</t>
        </is>
      </c>
      <c r="D88" s="1" t="n">
        <v>45387</v>
      </c>
      <c r="E88" s="1" t="n">
        <v>46300</v>
      </c>
      <c r="F88" t="inlineStr">
        <is>
          <t>NORRBOTTENS LÄN</t>
        </is>
      </c>
      <c r="G88" t="inlineStr">
        <is>
          <t>KIRUNA</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62439-2022</t>
        </is>
      </c>
      <c r="B89" t="inlineStr">
        <is>
          <t>avverkningsanmälan</t>
        </is>
      </c>
      <c r="C89" t="inlineStr">
        <is>
          <t>Föryngringsavverkning</t>
        </is>
      </c>
      <c r="D89" s="1" t="n">
        <v>44916</v>
      </c>
      <c r="E89" s="1" t="n">
        <v>46300</v>
      </c>
      <c r="F89" t="inlineStr">
        <is>
          <t>NORRBOTTENS LÄN</t>
        </is>
      </c>
      <c r="G89" t="inlineStr">
        <is>
          <t>KIRUNA</t>
        </is>
      </c>
      <c r="I89" t="n">
        <v>3.2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46300</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2026-10-05T01:53:57Z</dcterms:created>
  <dcterms:modified xmlns:dcterms="http://purl.org/dc/terms/" xmlns:xsi="http://www.w3.org/2001/XMLSchema-instance" xsi:type="dcterms:W3CDTF">2026-10-05T01:53:57Z</dcterms:modified>
</cp:coreProperties>
</file>