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45363</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45363</v>
      </c>
      <c r="D3" t="inlineStr">
        <is>
          <t>NORRBOTTENS LÄN</t>
        </is>
      </c>
      <c r="E3" t="inlineStr">
        <is>
          <t>KIRUNA</t>
        </is>
      </c>
      <c r="G3" t="n">
        <v>115.5</v>
      </c>
      <c r="H3" t="n">
        <v>18</v>
      </c>
      <c r="I3" t="n">
        <v>0</v>
      </c>
      <c r="J3" t="n">
        <v>11</v>
      </c>
      <c r="K3" t="n">
        <v>7</v>
      </c>
      <c r="L3" t="n">
        <v>1</v>
      </c>
      <c r="M3" t="n">
        <v>0</v>
      </c>
      <c r="N3" t="n">
        <v>0</v>
      </c>
      <c r="O3" t="n">
        <v>19</v>
      </c>
      <c r="P3" t="n">
        <v>8</v>
      </c>
      <c r="Q3" t="n">
        <v>19</v>
      </c>
      <c r="R3" s="2" t="inlineStr">
        <is>
          <t>Grönfink
Bläsand
Brushane
Gråtrut
Kricka
Norna
Stjärtand
Tofsvipa
Drillsnäppa
Fiskmås
Havsörn
Kalkkärrsgrynsnäcka
Kråka
Skrattmås
Smålom
Stenfalk
Svartvit flugsnappare
Talltita
Utter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61481-2023</t>
        </is>
      </c>
      <c r="B4" s="1" t="n">
        <v>45264</v>
      </c>
      <c r="C4" s="1" t="n">
        <v>45363</v>
      </c>
      <c r="D4" t="inlineStr">
        <is>
          <t>NORRBOTTENS LÄN</t>
        </is>
      </c>
      <c r="E4" t="inlineStr">
        <is>
          <t>KIRUNA</t>
        </is>
      </c>
      <c r="G4" t="n">
        <v>86.3</v>
      </c>
      <c r="H4" t="n">
        <v>4</v>
      </c>
      <c r="I4" t="n">
        <v>2</v>
      </c>
      <c r="J4" t="n">
        <v>8</v>
      </c>
      <c r="K4" t="n">
        <v>4</v>
      </c>
      <c r="L4" t="n">
        <v>0</v>
      </c>
      <c r="M4" t="n">
        <v>0</v>
      </c>
      <c r="N4" t="n">
        <v>0</v>
      </c>
      <c r="O4" t="n">
        <v>12</v>
      </c>
      <c r="P4" t="n">
        <v>4</v>
      </c>
      <c r="Q4" t="n">
        <v>16</v>
      </c>
      <c r="R4" s="2" t="inlineStr">
        <is>
          <t>Grantickeporing
Lappticka
Ostticka
Ulltickeporing
Garnlav
Granticka
Harticka
Järpe
Knottrig blåslav
Rosenticka
Tretåig hackspett
Ullticka
Blodticka
Vedticka
Lavskrika
Tjäder</t>
        </is>
      </c>
      <c r="S4">
        <f>HYPERLINK("https://klasma.github.io/Logging_2584/artfynd/A 61481-2023 artfynd.xlsx", "A 61481-2023")</f>
        <v/>
      </c>
      <c r="T4">
        <f>HYPERLINK("https://klasma.github.io/Logging_2584/kartor/A 61481-2023 karta.png", "A 61481-2023")</f>
        <v/>
      </c>
      <c r="V4">
        <f>HYPERLINK("https://klasma.github.io/Logging_2584/klagomål/A 61481-2023 FSC-klagomål.docx", "A 61481-2023")</f>
        <v/>
      </c>
      <c r="W4">
        <f>HYPERLINK("https://klasma.github.io/Logging_2584/klagomålsmail/A 61481-2023 FSC-klagomål mail.docx", "A 61481-2023")</f>
        <v/>
      </c>
      <c r="X4">
        <f>HYPERLINK("https://klasma.github.io/Logging_2584/tillsyn/A 61481-2023 tillsynsbegäran.docx", "A 61481-2023")</f>
        <v/>
      </c>
      <c r="Y4">
        <f>HYPERLINK("https://klasma.github.io/Logging_2584/tillsynsmail/A 61481-2023 tillsynsbegäran mail.docx", "A 61481-2023")</f>
        <v/>
      </c>
      <c r="Z4">
        <f>HYPERLINK("https://klasma.github.io/Logging_2584/fåglar/A 61481-2023 prioriterade fågelarter.docx", "A 61481-2023")</f>
        <v/>
      </c>
    </row>
    <row r="5" ht="15" customHeight="1">
      <c r="A5" t="inlineStr">
        <is>
          <t>A 38281-2020</t>
        </is>
      </c>
      <c r="B5" s="1" t="n">
        <v>44060</v>
      </c>
      <c r="C5" s="1" t="n">
        <v>45363</v>
      </c>
      <c r="D5" t="inlineStr">
        <is>
          <t>NORRBOTTENS LÄN</t>
        </is>
      </c>
      <c r="E5" t="inlineStr">
        <is>
          <t>KIRUNA</t>
        </is>
      </c>
      <c r="F5" t="inlineStr">
        <is>
          <t>Allmännings- och besparingsskogar</t>
        </is>
      </c>
      <c r="G5" t="n">
        <v>20</v>
      </c>
      <c r="H5" t="n">
        <v>2</v>
      </c>
      <c r="I5" t="n">
        <v>5</v>
      </c>
      <c r="J5" t="n">
        <v>7</v>
      </c>
      <c r="K5" t="n">
        <v>1</v>
      </c>
      <c r="L5" t="n">
        <v>0</v>
      </c>
      <c r="M5" t="n">
        <v>0</v>
      </c>
      <c r="N5" t="n">
        <v>0</v>
      </c>
      <c r="O5" t="n">
        <v>8</v>
      </c>
      <c r="P5" t="n">
        <v>1</v>
      </c>
      <c r="Q5" t="n">
        <v>14</v>
      </c>
      <c r="R5" s="2" t="inlineStr">
        <is>
          <t>Fläckporing
Blå taggsvamp
Granticka
Nordtagging
Orange taggsvamp
Rosenticka
Violmussling
Vitplätt
Blodticka
Dropptaggsvamp
Plattlummer
Skarp dropptaggsvamp
Vedticka
Tjäder</t>
        </is>
      </c>
      <c r="S5">
        <f>HYPERLINK("https://klasma.github.io/Logging_2584/artfynd/A 38281-2020 artfynd.xlsx", "A 38281-2020")</f>
        <v/>
      </c>
      <c r="T5">
        <f>HYPERLINK("https://klasma.github.io/Logging_2584/kartor/A 38281-2020 karta.png", "A 38281-2020")</f>
        <v/>
      </c>
      <c r="V5">
        <f>HYPERLINK("https://klasma.github.io/Logging_2584/klagomål/A 38281-2020 FSC-klagomål.docx", "A 38281-2020")</f>
        <v/>
      </c>
      <c r="W5">
        <f>HYPERLINK("https://klasma.github.io/Logging_2584/klagomålsmail/A 38281-2020 FSC-klagomål mail.docx", "A 38281-2020")</f>
        <v/>
      </c>
      <c r="X5">
        <f>HYPERLINK("https://klasma.github.io/Logging_2584/tillsyn/A 38281-2020 tillsynsbegäran.docx", "A 38281-2020")</f>
        <v/>
      </c>
      <c r="Y5">
        <f>HYPERLINK("https://klasma.github.io/Logging_2584/tillsynsmail/A 38281-2020 tillsynsbegäran mail.docx", "A 38281-2020")</f>
        <v/>
      </c>
      <c r="Z5">
        <f>HYPERLINK("https://klasma.github.io/Logging_2584/fåglar/A 38281-2020 prioriterade fågelarter.docx", "A 38281-2020")</f>
        <v/>
      </c>
    </row>
    <row r="6" ht="15" customHeight="1">
      <c r="A6" t="inlineStr">
        <is>
          <t>A 42505-2020</t>
        </is>
      </c>
      <c r="B6" s="1" t="n">
        <v>44074</v>
      </c>
      <c r="C6" s="1" t="n">
        <v>45363</v>
      </c>
      <c r="D6" t="inlineStr">
        <is>
          <t>NORRBOTTENS LÄN</t>
        </is>
      </c>
      <c r="E6" t="inlineStr">
        <is>
          <t>KIRUNA</t>
        </is>
      </c>
      <c r="F6" t="inlineStr">
        <is>
          <t>Sveaskog</t>
        </is>
      </c>
      <c r="G6" t="n">
        <v>30.4</v>
      </c>
      <c r="H6" t="n">
        <v>0</v>
      </c>
      <c r="I6" t="n">
        <v>2</v>
      </c>
      <c r="J6" t="n">
        <v>8</v>
      </c>
      <c r="K6" t="n">
        <v>3</v>
      </c>
      <c r="L6" t="n">
        <v>0</v>
      </c>
      <c r="M6" t="n">
        <v>0</v>
      </c>
      <c r="N6" t="n">
        <v>0</v>
      </c>
      <c r="O6" t="n">
        <v>11</v>
      </c>
      <c r="P6" t="n">
        <v>3</v>
      </c>
      <c r="Q6" t="n">
        <v>13</v>
      </c>
      <c r="R6" s="2" t="inlineStr">
        <is>
          <t>Kristallticka
Lappticka
Rynkskinn
Garnlav
Granticka
Gränsticka
Harticka
Knottrig blåslav
Rosenticka
Stjärntagging
Ullticka
Blodticka
Vedticka</t>
        </is>
      </c>
      <c r="S6">
        <f>HYPERLINK("https://klasma.github.io/Logging_2584/artfynd/A 42505-2020 artfynd.xlsx", "A 42505-2020")</f>
        <v/>
      </c>
      <c r="T6">
        <f>HYPERLINK("https://klasma.github.io/Logging_2584/kartor/A 42505-2020 karta.png", "A 42505-2020")</f>
        <v/>
      </c>
      <c r="V6">
        <f>HYPERLINK("https://klasma.github.io/Logging_2584/klagomål/A 42505-2020 FSC-klagomål.docx", "A 42505-2020")</f>
        <v/>
      </c>
      <c r="W6">
        <f>HYPERLINK("https://klasma.github.io/Logging_2584/klagomålsmail/A 42505-2020 FSC-klagomål mail.docx", "A 42505-2020")</f>
        <v/>
      </c>
      <c r="X6">
        <f>HYPERLINK("https://klasma.github.io/Logging_2584/tillsyn/A 42505-2020 tillsynsbegäran.docx", "A 42505-2020")</f>
        <v/>
      </c>
      <c r="Y6">
        <f>HYPERLINK("https://klasma.github.io/Logging_2584/tillsynsmail/A 42505-2020 tillsynsbegäran mail.docx", "A 42505-2020")</f>
        <v/>
      </c>
    </row>
    <row r="7" ht="15" customHeight="1">
      <c r="A7" t="inlineStr">
        <is>
          <t>A 38722-2020</t>
        </is>
      </c>
      <c r="B7" s="1" t="n">
        <v>44061</v>
      </c>
      <c r="C7" s="1" t="n">
        <v>45363</v>
      </c>
      <c r="D7" t="inlineStr">
        <is>
          <t>NORRBOTTENS LÄN</t>
        </is>
      </c>
      <c r="E7" t="inlineStr">
        <is>
          <t>KIRUNA</t>
        </is>
      </c>
      <c r="G7" t="n">
        <v>43.4</v>
      </c>
      <c r="H7" t="n">
        <v>1</v>
      </c>
      <c r="I7" t="n">
        <v>2</v>
      </c>
      <c r="J7" t="n">
        <v>7</v>
      </c>
      <c r="K7" t="n">
        <v>1</v>
      </c>
      <c r="L7" t="n">
        <v>0</v>
      </c>
      <c r="M7" t="n">
        <v>0</v>
      </c>
      <c r="N7" t="n">
        <v>0</v>
      </c>
      <c r="O7" t="n">
        <v>8</v>
      </c>
      <c r="P7" t="n">
        <v>1</v>
      </c>
      <c r="Q7" t="n">
        <v>10</v>
      </c>
      <c r="R7" s="2" t="inlineStr">
        <is>
          <t>Fläckporing
Blanksvart spiklav
Blå taggsvamp
Dvärgbägarlav
Orange taggsvamp
Skrovlig taggsvamp
Vedskivlav
Vitplätt
Dropptaggsvamp
Plattlummer</t>
        </is>
      </c>
      <c r="S7">
        <f>HYPERLINK("https://klasma.github.io/Logging_2584/artfynd/A 38722-2020 artfynd.xlsx", "A 38722-2020")</f>
        <v/>
      </c>
      <c r="T7">
        <f>HYPERLINK("https://klasma.github.io/Logging_2584/kartor/A 38722-2020 karta.png", "A 38722-2020")</f>
        <v/>
      </c>
      <c r="V7">
        <f>HYPERLINK("https://klasma.github.io/Logging_2584/klagomål/A 38722-2020 FSC-klagomål.docx", "A 38722-2020")</f>
        <v/>
      </c>
      <c r="W7">
        <f>HYPERLINK("https://klasma.github.io/Logging_2584/klagomålsmail/A 38722-2020 FSC-klagomål mail.docx", "A 38722-2020")</f>
        <v/>
      </c>
      <c r="X7">
        <f>HYPERLINK("https://klasma.github.io/Logging_2584/tillsyn/A 38722-2020 tillsynsbegäran.docx", "A 38722-2020")</f>
        <v/>
      </c>
      <c r="Y7">
        <f>HYPERLINK("https://klasma.github.io/Logging_2584/tillsynsmail/A 38722-2020 tillsynsbegäran mail.docx", "A 38722-2020")</f>
        <v/>
      </c>
    </row>
    <row r="8" ht="15" customHeight="1">
      <c r="A8" t="inlineStr">
        <is>
          <t>A 41920-2019</t>
        </is>
      </c>
      <c r="B8" s="1" t="n">
        <v>43700</v>
      </c>
      <c r="C8" s="1" t="n">
        <v>45363</v>
      </c>
      <c r="D8" t="inlineStr">
        <is>
          <t>NORRBOTTENS LÄN</t>
        </is>
      </c>
      <c r="E8" t="inlineStr">
        <is>
          <t>KIRUNA</t>
        </is>
      </c>
      <c r="G8" t="n">
        <v>200.7</v>
      </c>
      <c r="H8" t="n">
        <v>2</v>
      </c>
      <c r="I8" t="n">
        <v>0</v>
      </c>
      <c r="J8" t="n">
        <v>8</v>
      </c>
      <c r="K8" t="n">
        <v>1</v>
      </c>
      <c r="L8" t="n">
        <v>0</v>
      </c>
      <c r="M8" t="n">
        <v>0</v>
      </c>
      <c r="N8" t="n">
        <v>0</v>
      </c>
      <c r="O8" t="n">
        <v>9</v>
      </c>
      <c r="P8" t="n">
        <v>1</v>
      </c>
      <c r="Q8" t="n">
        <v>9</v>
      </c>
      <c r="R8" s="2" t="inlineStr">
        <is>
          <t>Mörk blåslav
Fjällvråk
Granticka
Harticka
Knottrig blåslav
Rosenticka
Tretåig hackspett
Ullticka
Violmussling</t>
        </is>
      </c>
      <c r="S8">
        <f>HYPERLINK("https://klasma.github.io/Logging_2584/artfynd/A 41920-2019 artfynd.xlsx", "A 41920-2019")</f>
        <v/>
      </c>
      <c r="T8">
        <f>HYPERLINK("https://klasma.github.io/Logging_2584/kartor/A 41920-2019 karta.png", "A 41920-2019")</f>
        <v/>
      </c>
      <c r="V8">
        <f>HYPERLINK("https://klasma.github.io/Logging_2584/klagomål/A 41920-2019 FSC-klagomål.docx", "A 41920-2019")</f>
        <v/>
      </c>
      <c r="W8">
        <f>HYPERLINK("https://klasma.github.io/Logging_2584/klagomålsmail/A 41920-2019 FSC-klagomål mail.docx", "A 41920-2019")</f>
        <v/>
      </c>
      <c r="X8">
        <f>HYPERLINK("https://klasma.github.io/Logging_2584/tillsyn/A 41920-2019 tillsynsbegäran.docx", "A 41920-2019")</f>
        <v/>
      </c>
      <c r="Y8">
        <f>HYPERLINK("https://klasma.github.io/Logging_2584/tillsynsmail/A 41920-2019 tillsynsbegäran mail.docx", "A 41920-2019")</f>
        <v/>
      </c>
      <c r="Z8">
        <f>HYPERLINK("https://klasma.github.io/Logging_2584/fåglar/A 41920-2019 prioriterade fågelarter.docx", "A 41920-2019")</f>
        <v/>
      </c>
    </row>
    <row r="9" ht="15" customHeight="1">
      <c r="A9" t="inlineStr">
        <is>
          <t>A 52664-2019</t>
        </is>
      </c>
      <c r="B9" s="1" t="n">
        <v>43738</v>
      </c>
      <c r="C9" s="1" t="n">
        <v>45363</v>
      </c>
      <c r="D9" t="inlineStr">
        <is>
          <t>NORRBOTTENS LÄN</t>
        </is>
      </c>
      <c r="E9" t="inlineStr">
        <is>
          <t>KIRUNA</t>
        </is>
      </c>
      <c r="G9" t="n">
        <v>20.8</v>
      </c>
      <c r="H9" t="n">
        <v>1</v>
      </c>
      <c r="I9" t="n">
        <v>0</v>
      </c>
      <c r="J9" t="n">
        <v>3</v>
      </c>
      <c r="K9" t="n">
        <v>4</v>
      </c>
      <c r="L9" t="n">
        <v>0</v>
      </c>
      <c r="M9" t="n">
        <v>0</v>
      </c>
      <c r="N9" t="n">
        <v>0</v>
      </c>
      <c r="O9" t="n">
        <v>7</v>
      </c>
      <c r="P9" t="n">
        <v>4</v>
      </c>
      <c r="Q9" t="n">
        <v>7</v>
      </c>
      <c r="R9" s="2" t="inlineStr">
        <is>
          <t>Gräddporing
Lateritticka
Liten sotlav
Smalfotad taggsvamp
Dvärgbägarlav
Nordtagging
Tretåig hackspett</t>
        </is>
      </c>
      <c r="S9">
        <f>HYPERLINK("https://klasma.github.io/Logging_2584/artfynd/A 52664-2019 artfynd.xlsx", "A 52664-2019")</f>
        <v/>
      </c>
      <c r="T9">
        <f>HYPERLINK("https://klasma.github.io/Logging_2584/kartor/A 52664-2019 karta.png", "A 52664-2019")</f>
        <v/>
      </c>
      <c r="V9">
        <f>HYPERLINK("https://klasma.github.io/Logging_2584/klagomål/A 52664-2019 FSC-klagomål.docx", "A 52664-2019")</f>
        <v/>
      </c>
      <c r="W9">
        <f>HYPERLINK("https://klasma.github.io/Logging_2584/klagomålsmail/A 52664-2019 FSC-klagomål mail.docx", "A 52664-2019")</f>
        <v/>
      </c>
      <c r="X9">
        <f>HYPERLINK("https://klasma.github.io/Logging_2584/tillsyn/A 52664-2019 tillsynsbegäran.docx", "A 52664-2019")</f>
        <v/>
      </c>
      <c r="Y9">
        <f>HYPERLINK("https://klasma.github.io/Logging_2584/tillsynsmail/A 52664-2019 tillsynsbegäran mail.docx", "A 52664-2019")</f>
        <v/>
      </c>
      <c r="Z9">
        <f>HYPERLINK("https://klasma.github.io/Logging_2584/fåglar/A 52664-2019 prioriterade fågelarter.docx", "A 52664-2019")</f>
        <v/>
      </c>
    </row>
    <row r="10" ht="15" customHeight="1">
      <c r="A10" t="inlineStr">
        <is>
          <t>A 6934-2020</t>
        </is>
      </c>
      <c r="B10" s="1" t="n">
        <v>43867</v>
      </c>
      <c r="C10" s="1" t="n">
        <v>45363</v>
      </c>
      <c r="D10" t="inlineStr">
        <is>
          <t>NORRBOTTENS LÄN</t>
        </is>
      </c>
      <c r="E10" t="inlineStr">
        <is>
          <t>KIRUNA</t>
        </is>
      </c>
      <c r="F10" t="inlineStr">
        <is>
          <t>Sveaskog</t>
        </is>
      </c>
      <c r="G10" t="n">
        <v>17.1</v>
      </c>
      <c r="H10" t="n">
        <v>0</v>
      </c>
      <c r="I10" t="n">
        <v>0</v>
      </c>
      <c r="J10" t="n">
        <v>5</v>
      </c>
      <c r="K10" t="n">
        <v>2</v>
      </c>
      <c r="L10" t="n">
        <v>0</v>
      </c>
      <c r="M10" t="n">
        <v>0</v>
      </c>
      <c r="N10" t="n">
        <v>0</v>
      </c>
      <c r="O10" t="n">
        <v>7</v>
      </c>
      <c r="P10" t="n">
        <v>2</v>
      </c>
      <c r="Q10" t="n">
        <v>7</v>
      </c>
      <c r="R10" s="2" t="inlineStr">
        <is>
          <t>Ostticka
Rynkskinn
Granticka
Harticka
Knottrig blåslav
Rosenticka
Ullticka</t>
        </is>
      </c>
      <c r="S10">
        <f>HYPERLINK("https://klasma.github.io/Logging_2584/artfynd/A 6934-2020 artfynd.xlsx", "A 6934-2020")</f>
        <v/>
      </c>
      <c r="T10">
        <f>HYPERLINK("https://klasma.github.io/Logging_2584/kartor/A 6934-2020 karta.png", "A 6934-2020")</f>
        <v/>
      </c>
      <c r="V10">
        <f>HYPERLINK("https://klasma.github.io/Logging_2584/klagomål/A 6934-2020 FSC-klagomål.docx", "A 6934-2020")</f>
        <v/>
      </c>
      <c r="W10">
        <f>HYPERLINK("https://klasma.github.io/Logging_2584/klagomålsmail/A 6934-2020 FSC-klagomål mail.docx", "A 6934-2020")</f>
        <v/>
      </c>
      <c r="X10">
        <f>HYPERLINK("https://klasma.github.io/Logging_2584/tillsyn/A 6934-2020 tillsynsbegäran.docx", "A 6934-2020")</f>
        <v/>
      </c>
      <c r="Y10">
        <f>HYPERLINK("https://klasma.github.io/Logging_2584/tillsynsmail/A 6934-2020 tillsynsbegäran mail.docx", "A 6934-2020")</f>
        <v/>
      </c>
    </row>
    <row r="11" ht="15" customHeight="1">
      <c r="A11" t="inlineStr">
        <is>
          <t>A 38342-2020</t>
        </is>
      </c>
      <c r="B11" s="1" t="n">
        <v>44060</v>
      </c>
      <c r="C11" s="1" t="n">
        <v>45363</v>
      </c>
      <c r="D11" t="inlineStr">
        <is>
          <t>NORRBOTTENS LÄN</t>
        </is>
      </c>
      <c r="E11" t="inlineStr">
        <is>
          <t>KIRUNA</t>
        </is>
      </c>
      <c r="F11" t="inlineStr">
        <is>
          <t>Allmännings- och besparingsskogar</t>
        </is>
      </c>
      <c r="G11" t="n">
        <v>4</v>
      </c>
      <c r="H11" t="n">
        <v>0</v>
      </c>
      <c r="I11" t="n">
        <v>0</v>
      </c>
      <c r="J11" t="n">
        <v>4</v>
      </c>
      <c r="K11" t="n">
        <v>1</v>
      </c>
      <c r="L11" t="n">
        <v>0</v>
      </c>
      <c r="M11" t="n">
        <v>0</v>
      </c>
      <c r="N11" t="n">
        <v>0</v>
      </c>
      <c r="O11" t="n">
        <v>5</v>
      </c>
      <c r="P11" t="n">
        <v>1</v>
      </c>
      <c r="Q11" t="n">
        <v>5</v>
      </c>
      <c r="R11" s="2" t="inlineStr">
        <is>
          <t>Ostticka
Granticka
Rosenticka
Tallriska
Ullticka</t>
        </is>
      </c>
      <c r="S11">
        <f>HYPERLINK("https://klasma.github.io/Logging_2584/artfynd/A 38342-2020 artfynd.xlsx", "A 38342-2020")</f>
        <v/>
      </c>
      <c r="T11">
        <f>HYPERLINK("https://klasma.github.io/Logging_2584/kartor/A 38342-2020 karta.png", "A 38342-2020")</f>
        <v/>
      </c>
      <c r="V11">
        <f>HYPERLINK("https://klasma.github.io/Logging_2584/klagomål/A 38342-2020 FSC-klagomål.docx", "A 38342-2020")</f>
        <v/>
      </c>
      <c r="W11">
        <f>HYPERLINK("https://klasma.github.io/Logging_2584/klagomålsmail/A 38342-2020 FSC-klagomål mail.docx", "A 38342-2020")</f>
        <v/>
      </c>
      <c r="X11">
        <f>HYPERLINK("https://klasma.github.io/Logging_2584/tillsyn/A 38342-2020 tillsynsbegäran.docx", "A 38342-2020")</f>
        <v/>
      </c>
      <c r="Y11">
        <f>HYPERLINK("https://klasma.github.io/Logging_2584/tillsynsmail/A 38342-2020 tillsynsbegäran mail.docx", "A 38342-2020")</f>
        <v/>
      </c>
    </row>
    <row r="12" ht="15" customHeight="1">
      <c r="A12" t="inlineStr">
        <is>
          <t>A 27955-2020</t>
        </is>
      </c>
      <c r="B12" s="1" t="n">
        <v>43993</v>
      </c>
      <c r="C12" s="1" t="n">
        <v>45363</v>
      </c>
      <c r="D12" t="inlineStr">
        <is>
          <t>NORRBOTTENS LÄN</t>
        </is>
      </c>
      <c r="E12" t="inlineStr">
        <is>
          <t>KIRUNA</t>
        </is>
      </c>
      <c r="G12" t="n">
        <v>46.5</v>
      </c>
      <c r="H12" t="n">
        <v>0</v>
      </c>
      <c r="I12" t="n">
        <v>2</v>
      </c>
      <c r="J12" t="n">
        <v>1</v>
      </c>
      <c r="K12" t="n">
        <v>1</v>
      </c>
      <c r="L12" t="n">
        <v>0</v>
      </c>
      <c r="M12" t="n">
        <v>0</v>
      </c>
      <c r="N12" t="n">
        <v>0</v>
      </c>
      <c r="O12" t="n">
        <v>2</v>
      </c>
      <c r="P12" t="n">
        <v>1</v>
      </c>
      <c r="Q12" t="n">
        <v>4</v>
      </c>
      <c r="R12" s="2" t="inlineStr">
        <is>
          <t>Fläckporing
Granticka
Vedticka
Ögonpyrola</t>
        </is>
      </c>
      <c r="S12">
        <f>HYPERLINK("https://klasma.github.io/Logging_2584/artfynd/A 27955-2020 artfynd.xlsx", "A 27955-2020")</f>
        <v/>
      </c>
      <c r="T12">
        <f>HYPERLINK("https://klasma.github.io/Logging_2584/kartor/A 27955-2020 karta.png", "A 27955-2020")</f>
        <v/>
      </c>
      <c r="V12">
        <f>HYPERLINK("https://klasma.github.io/Logging_2584/klagomål/A 27955-2020 FSC-klagomål.docx", "A 27955-2020")</f>
        <v/>
      </c>
      <c r="W12">
        <f>HYPERLINK("https://klasma.github.io/Logging_2584/klagomålsmail/A 27955-2020 FSC-klagomål mail.docx", "A 27955-2020")</f>
        <v/>
      </c>
      <c r="X12">
        <f>HYPERLINK("https://klasma.github.io/Logging_2584/tillsyn/A 27955-2020 tillsynsbegäran.docx", "A 27955-2020")</f>
        <v/>
      </c>
      <c r="Y12">
        <f>HYPERLINK("https://klasma.github.io/Logging_2584/tillsynsmail/A 27955-2020 tillsynsbegäran mail.docx", "A 27955-2020")</f>
        <v/>
      </c>
    </row>
    <row r="13" ht="15" customHeight="1">
      <c r="A13" t="inlineStr">
        <is>
          <t>A 42512-2020</t>
        </is>
      </c>
      <c r="B13" s="1" t="n">
        <v>44074</v>
      </c>
      <c r="C13" s="1" t="n">
        <v>45363</v>
      </c>
      <c r="D13" t="inlineStr">
        <is>
          <t>NORRBOTTENS LÄN</t>
        </is>
      </c>
      <c r="E13" t="inlineStr">
        <is>
          <t>KIRUNA</t>
        </is>
      </c>
      <c r="F13" t="inlineStr">
        <is>
          <t>Sveaskog</t>
        </is>
      </c>
      <c r="G13" t="n">
        <v>14</v>
      </c>
      <c r="H13" t="n">
        <v>1</v>
      </c>
      <c r="I13" t="n">
        <v>1</v>
      </c>
      <c r="J13" t="n">
        <v>3</v>
      </c>
      <c r="K13" t="n">
        <v>0</v>
      </c>
      <c r="L13" t="n">
        <v>0</v>
      </c>
      <c r="M13" t="n">
        <v>0</v>
      </c>
      <c r="N13" t="n">
        <v>0</v>
      </c>
      <c r="O13" t="n">
        <v>3</v>
      </c>
      <c r="P13" t="n">
        <v>0</v>
      </c>
      <c r="Q13" t="n">
        <v>4</v>
      </c>
      <c r="R13" s="2" t="inlineStr">
        <is>
          <t>Granticka
Knottrig blåslav
Vitplätt
Plattlummer</t>
        </is>
      </c>
      <c r="S13">
        <f>HYPERLINK("https://klasma.github.io/Logging_2584/artfynd/A 42512-2020 artfynd.xlsx", "A 42512-2020")</f>
        <v/>
      </c>
      <c r="T13">
        <f>HYPERLINK("https://klasma.github.io/Logging_2584/kartor/A 42512-2020 karta.png", "A 42512-2020")</f>
        <v/>
      </c>
      <c r="V13">
        <f>HYPERLINK("https://klasma.github.io/Logging_2584/klagomål/A 42512-2020 FSC-klagomål.docx", "A 42512-2020")</f>
        <v/>
      </c>
      <c r="W13">
        <f>HYPERLINK("https://klasma.github.io/Logging_2584/klagomålsmail/A 42512-2020 FSC-klagomål mail.docx", "A 42512-2020")</f>
        <v/>
      </c>
      <c r="X13">
        <f>HYPERLINK("https://klasma.github.io/Logging_2584/tillsyn/A 42512-2020 tillsynsbegäran.docx", "A 42512-2020")</f>
        <v/>
      </c>
      <c r="Y13">
        <f>HYPERLINK("https://klasma.github.io/Logging_2584/tillsynsmail/A 42512-2020 tillsynsbegäran mail.docx", "A 42512-2020")</f>
        <v/>
      </c>
    </row>
    <row r="14" ht="15" customHeight="1">
      <c r="A14" t="inlineStr">
        <is>
          <t>A 42532-2020</t>
        </is>
      </c>
      <c r="B14" s="1" t="n">
        <v>44074</v>
      </c>
      <c r="C14" s="1" t="n">
        <v>45363</v>
      </c>
      <c r="D14" t="inlineStr">
        <is>
          <t>NORRBOTTENS LÄN</t>
        </is>
      </c>
      <c r="E14" t="inlineStr">
        <is>
          <t>KIRUNA</t>
        </is>
      </c>
      <c r="F14" t="inlineStr">
        <is>
          <t>Sveaskog</t>
        </is>
      </c>
      <c r="G14" t="n">
        <v>24.6</v>
      </c>
      <c r="H14" t="n">
        <v>1</v>
      </c>
      <c r="I14" t="n">
        <v>0</v>
      </c>
      <c r="J14" t="n">
        <v>3</v>
      </c>
      <c r="K14" t="n">
        <v>1</v>
      </c>
      <c r="L14" t="n">
        <v>0</v>
      </c>
      <c r="M14" t="n">
        <v>0</v>
      </c>
      <c r="N14" t="n">
        <v>0</v>
      </c>
      <c r="O14" t="n">
        <v>4</v>
      </c>
      <c r="P14" t="n">
        <v>1</v>
      </c>
      <c r="Q14" t="n">
        <v>4</v>
      </c>
      <c r="R14" s="2" t="inlineStr">
        <is>
          <t>Doftticka
Knottrig blåslav
Skrovellav
Vitplätt</t>
        </is>
      </c>
      <c r="S14">
        <f>HYPERLINK("https://klasma.github.io/Logging_2584/artfynd/A 42532-2020 artfynd.xlsx", "A 42532-2020")</f>
        <v/>
      </c>
      <c r="T14">
        <f>HYPERLINK("https://klasma.github.io/Logging_2584/kartor/A 42532-2020 karta.png", "A 42532-2020")</f>
        <v/>
      </c>
      <c r="V14">
        <f>HYPERLINK("https://klasma.github.io/Logging_2584/klagomål/A 42532-2020 FSC-klagomål.docx", "A 42532-2020")</f>
        <v/>
      </c>
      <c r="W14">
        <f>HYPERLINK("https://klasma.github.io/Logging_2584/klagomålsmail/A 42532-2020 FSC-klagomål mail.docx", "A 42532-2020")</f>
        <v/>
      </c>
      <c r="X14">
        <f>HYPERLINK("https://klasma.github.io/Logging_2584/tillsyn/A 42532-2020 tillsynsbegäran.docx", "A 42532-2020")</f>
        <v/>
      </c>
      <c r="Y14">
        <f>HYPERLINK("https://klasma.github.io/Logging_2584/tillsynsmail/A 42532-2020 tillsynsbegäran mail.docx", "A 42532-2020")</f>
        <v/>
      </c>
    </row>
    <row r="15" ht="15" customHeight="1">
      <c r="A15" t="inlineStr">
        <is>
          <t>A 27642-2020</t>
        </is>
      </c>
      <c r="B15" s="1" t="n">
        <v>43993</v>
      </c>
      <c r="C15" s="1" t="n">
        <v>45363</v>
      </c>
      <c r="D15" t="inlineStr">
        <is>
          <t>NORRBOTTENS LÄN</t>
        </is>
      </c>
      <c r="E15" t="inlineStr">
        <is>
          <t>KIRUNA</t>
        </is>
      </c>
      <c r="G15" t="n">
        <v>31.9</v>
      </c>
      <c r="H15" t="n">
        <v>1</v>
      </c>
      <c r="I15" t="n">
        <v>0</v>
      </c>
      <c r="J15" t="n">
        <v>1</v>
      </c>
      <c r="K15" t="n">
        <v>1</v>
      </c>
      <c r="L15" t="n">
        <v>0</v>
      </c>
      <c r="M15" t="n">
        <v>0</v>
      </c>
      <c r="N15" t="n">
        <v>0</v>
      </c>
      <c r="O15" t="n">
        <v>2</v>
      </c>
      <c r="P15" t="n">
        <v>1</v>
      </c>
      <c r="Q15" t="n">
        <v>3</v>
      </c>
      <c r="R15" s="2" t="inlineStr">
        <is>
          <t>Gräddporing
Röd trolldruva
Brudsporre</t>
        </is>
      </c>
      <c r="S15">
        <f>HYPERLINK("https://klasma.github.io/Logging_2584/artfynd/A 27642-2020 artfynd.xlsx", "A 27642-2020")</f>
        <v/>
      </c>
      <c r="T15">
        <f>HYPERLINK("https://klasma.github.io/Logging_2584/kartor/A 27642-2020 karta.png", "A 27642-2020")</f>
        <v/>
      </c>
      <c r="V15">
        <f>HYPERLINK("https://klasma.github.io/Logging_2584/klagomål/A 27642-2020 FSC-klagomål.docx", "A 27642-2020")</f>
        <v/>
      </c>
      <c r="W15">
        <f>HYPERLINK("https://klasma.github.io/Logging_2584/klagomålsmail/A 27642-2020 FSC-klagomål mail.docx", "A 27642-2020")</f>
        <v/>
      </c>
      <c r="X15">
        <f>HYPERLINK("https://klasma.github.io/Logging_2584/tillsyn/A 27642-2020 tillsynsbegäran.docx", "A 27642-2020")</f>
        <v/>
      </c>
      <c r="Y15">
        <f>HYPERLINK("https://klasma.github.io/Logging_2584/tillsynsmail/A 27642-2020 tillsynsbegäran mail.docx", "A 27642-2020")</f>
        <v/>
      </c>
    </row>
    <row r="16" ht="15" customHeight="1">
      <c r="A16" t="inlineStr">
        <is>
          <t>A 38334-2020</t>
        </is>
      </c>
      <c r="B16" s="1" t="n">
        <v>44060</v>
      </c>
      <c r="C16" s="1" t="n">
        <v>45363</v>
      </c>
      <c r="D16" t="inlineStr">
        <is>
          <t>NORRBOTTENS LÄN</t>
        </is>
      </c>
      <c r="E16" t="inlineStr">
        <is>
          <t>KIRUNA</t>
        </is>
      </c>
      <c r="F16" t="inlineStr">
        <is>
          <t>Allmännings- och besparingsskogar</t>
        </is>
      </c>
      <c r="G16" t="n">
        <v>13</v>
      </c>
      <c r="H16" t="n">
        <v>0</v>
      </c>
      <c r="I16" t="n">
        <v>0</v>
      </c>
      <c r="J16" t="n">
        <v>2</v>
      </c>
      <c r="K16" t="n">
        <v>1</v>
      </c>
      <c r="L16" t="n">
        <v>0</v>
      </c>
      <c r="M16" t="n">
        <v>0</v>
      </c>
      <c r="N16" t="n">
        <v>0</v>
      </c>
      <c r="O16" t="n">
        <v>3</v>
      </c>
      <c r="P16" t="n">
        <v>1</v>
      </c>
      <c r="Q16" t="n">
        <v>3</v>
      </c>
      <c r="R16" s="2" t="inlineStr">
        <is>
          <t>Torrmusseron
Blå taggsvamp
Talltaggsvamp</t>
        </is>
      </c>
      <c r="S16">
        <f>HYPERLINK("https://klasma.github.io/Logging_2584/artfynd/A 38334-2020 artfynd.xlsx", "A 38334-2020")</f>
        <v/>
      </c>
      <c r="T16">
        <f>HYPERLINK("https://klasma.github.io/Logging_2584/kartor/A 38334-2020 karta.png", "A 38334-2020")</f>
        <v/>
      </c>
      <c r="V16">
        <f>HYPERLINK("https://klasma.github.io/Logging_2584/klagomål/A 38334-2020 FSC-klagomål.docx", "A 38334-2020")</f>
        <v/>
      </c>
      <c r="W16">
        <f>HYPERLINK("https://klasma.github.io/Logging_2584/klagomålsmail/A 38334-2020 FSC-klagomål mail.docx", "A 38334-2020")</f>
        <v/>
      </c>
      <c r="X16">
        <f>HYPERLINK("https://klasma.github.io/Logging_2584/tillsyn/A 38334-2020 tillsynsbegäran.docx", "A 38334-2020")</f>
        <v/>
      </c>
      <c r="Y16">
        <f>HYPERLINK("https://klasma.github.io/Logging_2584/tillsynsmail/A 38334-2020 tillsynsbegäran mail.docx", "A 38334-2020")</f>
        <v/>
      </c>
    </row>
    <row r="17" ht="15" customHeight="1">
      <c r="A17" t="inlineStr">
        <is>
          <t>A 42509-2020</t>
        </is>
      </c>
      <c r="B17" s="1" t="n">
        <v>44074</v>
      </c>
      <c r="C17" s="1" t="n">
        <v>45363</v>
      </c>
      <c r="D17" t="inlineStr">
        <is>
          <t>NORRBOTTENS LÄN</t>
        </is>
      </c>
      <c r="E17" t="inlineStr">
        <is>
          <t>KIRUNA</t>
        </is>
      </c>
      <c r="F17" t="inlineStr">
        <is>
          <t>Sveaskog</t>
        </is>
      </c>
      <c r="G17" t="n">
        <v>25.3</v>
      </c>
      <c r="H17" t="n">
        <v>0</v>
      </c>
      <c r="I17" t="n">
        <v>0</v>
      </c>
      <c r="J17" t="n">
        <v>3</v>
      </c>
      <c r="K17" t="n">
        <v>0</v>
      </c>
      <c r="L17" t="n">
        <v>0</v>
      </c>
      <c r="M17" t="n">
        <v>0</v>
      </c>
      <c r="N17" t="n">
        <v>0</v>
      </c>
      <c r="O17" t="n">
        <v>3</v>
      </c>
      <c r="P17" t="n">
        <v>0</v>
      </c>
      <c r="Q17" t="n">
        <v>3</v>
      </c>
      <c r="R17" s="2" t="inlineStr">
        <is>
          <t>Granticka
Harticka
Knottrig blåslav</t>
        </is>
      </c>
      <c r="S17">
        <f>HYPERLINK("https://klasma.github.io/Logging_2584/artfynd/A 42509-2020 artfynd.xlsx", "A 42509-2020")</f>
        <v/>
      </c>
      <c r="T17">
        <f>HYPERLINK("https://klasma.github.io/Logging_2584/kartor/A 42509-2020 karta.png", "A 42509-2020")</f>
        <v/>
      </c>
      <c r="V17">
        <f>HYPERLINK("https://klasma.github.io/Logging_2584/klagomål/A 42509-2020 FSC-klagomål.docx", "A 42509-2020")</f>
        <v/>
      </c>
      <c r="W17">
        <f>HYPERLINK("https://klasma.github.io/Logging_2584/klagomålsmail/A 42509-2020 FSC-klagomål mail.docx", "A 42509-2020")</f>
        <v/>
      </c>
      <c r="X17">
        <f>HYPERLINK("https://klasma.github.io/Logging_2584/tillsyn/A 42509-2020 tillsynsbegäran.docx", "A 42509-2020")</f>
        <v/>
      </c>
      <c r="Y17">
        <f>HYPERLINK("https://klasma.github.io/Logging_2584/tillsynsmail/A 42509-2020 tillsynsbegäran mail.docx", "A 42509-2020")</f>
        <v/>
      </c>
    </row>
    <row r="18" ht="15" customHeight="1">
      <c r="A18" t="inlineStr">
        <is>
          <t>A 17705-2023</t>
        </is>
      </c>
      <c r="B18" s="1" t="n">
        <v>45035</v>
      </c>
      <c r="C18" s="1" t="n">
        <v>45363</v>
      </c>
      <c r="D18" t="inlineStr">
        <is>
          <t>NORRBOTTENS LÄN</t>
        </is>
      </c>
      <c r="E18" t="inlineStr">
        <is>
          <t>KIRUNA</t>
        </is>
      </c>
      <c r="F18" t="inlineStr">
        <is>
          <t>Allmännings- och besparingsskogar</t>
        </is>
      </c>
      <c r="G18" t="n">
        <v>58.9</v>
      </c>
      <c r="H18" t="n">
        <v>0</v>
      </c>
      <c r="I18" t="n">
        <v>1</v>
      </c>
      <c r="J18" t="n">
        <v>1</v>
      </c>
      <c r="K18" t="n">
        <v>1</v>
      </c>
      <c r="L18" t="n">
        <v>0</v>
      </c>
      <c r="M18" t="n">
        <v>0</v>
      </c>
      <c r="N18" t="n">
        <v>0</v>
      </c>
      <c r="O18" t="n">
        <v>2</v>
      </c>
      <c r="P18" t="n">
        <v>1</v>
      </c>
      <c r="Q18" t="n">
        <v>3</v>
      </c>
      <c r="R18" s="2" t="inlineStr">
        <is>
          <t>Fläckporing
Orange taggsvamp
Dropptaggsvamp</t>
        </is>
      </c>
      <c r="S18">
        <f>HYPERLINK("https://klasma.github.io/Logging_2584/artfynd/A 17705-2023 artfynd.xlsx", "A 17705-2023")</f>
        <v/>
      </c>
      <c r="T18">
        <f>HYPERLINK("https://klasma.github.io/Logging_2584/kartor/A 17705-2023 karta.png", "A 17705-2023")</f>
        <v/>
      </c>
      <c r="V18">
        <f>HYPERLINK("https://klasma.github.io/Logging_2584/klagomål/A 17705-2023 FSC-klagomål.docx", "A 17705-2023")</f>
        <v/>
      </c>
      <c r="W18">
        <f>HYPERLINK("https://klasma.github.io/Logging_2584/klagomålsmail/A 17705-2023 FSC-klagomål mail.docx", "A 17705-2023")</f>
        <v/>
      </c>
      <c r="X18">
        <f>HYPERLINK("https://klasma.github.io/Logging_2584/tillsyn/A 17705-2023 tillsynsbegäran.docx", "A 17705-2023")</f>
        <v/>
      </c>
      <c r="Y18">
        <f>HYPERLINK("https://klasma.github.io/Logging_2584/tillsynsmail/A 17705-2023 tillsynsbegäran mail.docx", "A 17705-2023")</f>
        <v/>
      </c>
    </row>
    <row r="19" ht="15" customHeight="1">
      <c r="A19" t="inlineStr">
        <is>
          <t>A 58216-2018</t>
        </is>
      </c>
      <c r="B19" s="1" t="n">
        <v>43408</v>
      </c>
      <c r="C19" s="1" t="n">
        <v>45363</v>
      </c>
      <c r="D19" t="inlineStr">
        <is>
          <t>NORRBOTTENS LÄN</t>
        </is>
      </c>
      <c r="E19" t="inlineStr">
        <is>
          <t>KIRUNA</t>
        </is>
      </c>
      <c r="G19" t="n">
        <v>11</v>
      </c>
      <c r="H19" t="n">
        <v>1</v>
      </c>
      <c r="I19" t="n">
        <v>0</v>
      </c>
      <c r="J19" t="n">
        <v>2</v>
      </c>
      <c r="K19" t="n">
        <v>0</v>
      </c>
      <c r="L19" t="n">
        <v>0</v>
      </c>
      <c r="M19" t="n">
        <v>0</v>
      </c>
      <c r="N19" t="n">
        <v>0</v>
      </c>
      <c r="O19" t="n">
        <v>2</v>
      </c>
      <c r="P19" t="n">
        <v>0</v>
      </c>
      <c r="Q19" t="n">
        <v>2</v>
      </c>
      <c r="R19" s="2" t="inlineStr">
        <is>
          <t>Harticka
Tretåig hackspett</t>
        </is>
      </c>
      <c r="S19">
        <f>HYPERLINK("https://klasma.github.io/Logging_2584/artfynd/A 58216-2018 artfynd.xlsx", "A 58216-2018")</f>
        <v/>
      </c>
      <c r="T19">
        <f>HYPERLINK("https://klasma.github.io/Logging_2584/kartor/A 58216-2018 karta.png", "A 58216-2018")</f>
        <v/>
      </c>
      <c r="V19">
        <f>HYPERLINK("https://klasma.github.io/Logging_2584/klagomål/A 58216-2018 FSC-klagomål.docx", "A 58216-2018")</f>
        <v/>
      </c>
      <c r="W19">
        <f>HYPERLINK("https://klasma.github.io/Logging_2584/klagomålsmail/A 58216-2018 FSC-klagomål mail.docx", "A 58216-2018")</f>
        <v/>
      </c>
      <c r="X19">
        <f>HYPERLINK("https://klasma.github.io/Logging_2584/tillsyn/A 58216-2018 tillsynsbegäran.docx", "A 58216-2018")</f>
        <v/>
      </c>
      <c r="Y19">
        <f>HYPERLINK("https://klasma.github.io/Logging_2584/tillsynsmail/A 58216-2018 tillsynsbegäran mail.docx", "A 58216-2018")</f>
        <v/>
      </c>
      <c r="Z19">
        <f>HYPERLINK("https://klasma.github.io/Logging_2584/fåglar/A 58216-2018 prioriterade fågelarter.docx", "A 58216-2018")</f>
        <v/>
      </c>
    </row>
    <row r="20" ht="15" customHeight="1">
      <c r="A20" t="inlineStr">
        <is>
          <t>A 60777-2019</t>
        </is>
      </c>
      <c r="B20" s="1" t="n">
        <v>43777</v>
      </c>
      <c r="C20" s="1" t="n">
        <v>45363</v>
      </c>
      <c r="D20" t="inlineStr">
        <is>
          <t>NORRBOTTENS LÄN</t>
        </is>
      </c>
      <c r="E20" t="inlineStr">
        <is>
          <t>KIRUNA</t>
        </is>
      </c>
      <c r="G20" t="n">
        <v>4.9</v>
      </c>
      <c r="H20" t="n">
        <v>0</v>
      </c>
      <c r="I20" t="n">
        <v>0</v>
      </c>
      <c r="J20" t="n">
        <v>2</v>
      </c>
      <c r="K20" t="n">
        <v>0</v>
      </c>
      <c r="L20" t="n">
        <v>0</v>
      </c>
      <c r="M20" t="n">
        <v>0</v>
      </c>
      <c r="N20" t="n">
        <v>0</v>
      </c>
      <c r="O20" t="n">
        <v>2</v>
      </c>
      <c r="P20" t="n">
        <v>0</v>
      </c>
      <c r="Q20" t="n">
        <v>2</v>
      </c>
      <c r="R20" s="2" t="inlineStr">
        <is>
          <t>Granticka
Ullticka</t>
        </is>
      </c>
      <c r="S20">
        <f>HYPERLINK("https://klasma.github.io/Logging_2584/artfynd/A 60777-2019 artfynd.xlsx", "A 60777-2019")</f>
        <v/>
      </c>
      <c r="T20">
        <f>HYPERLINK("https://klasma.github.io/Logging_2584/kartor/A 60777-2019 karta.png", "A 60777-2019")</f>
        <v/>
      </c>
      <c r="V20">
        <f>HYPERLINK("https://klasma.github.io/Logging_2584/klagomål/A 60777-2019 FSC-klagomål.docx", "A 60777-2019")</f>
        <v/>
      </c>
      <c r="W20">
        <f>HYPERLINK("https://klasma.github.io/Logging_2584/klagomålsmail/A 60777-2019 FSC-klagomål mail.docx", "A 60777-2019")</f>
        <v/>
      </c>
      <c r="X20">
        <f>HYPERLINK("https://klasma.github.io/Logging_2584/tillsyn/A 60777-2019 tillsynsbegäran.docx", "A 60777-2019")</f>
        <v/>
      </c>
      <c r="Y20">
        <f>HYPERLINK("https://klasma.github.io/Logging_2584/tillsynsmail/A 60777-2019 tillsynsbegäran mail.docx", "A 60777-2019")</f>
        <v/>
      </c>
    </row>
    <row r="21" ht="15" customHeight="1">
      <c r="A21" t="inlineStr">
        <is>
          <t>A 62435-2022</t>
        </is>
      </c>
      <c r="B21" s="1" t="n">
        <v>44916</v>
      </c>
      <c r="C21" s="1" t="n">
        <v>45363</v>
      </c>
      <c r="D21" t="inlineStr">
        <is>
          <t>NORRBOTTENS LÄN</t>
        </is>
      </c>
      <c r="E21" t="inlineStr">
        <is>
          <t>KIRUNA</t>
        </is>
      </c>
      <c r="G21" t="n">
        <v>13.3</v>
      </c>
      <c r="H21" t="n">
        <v>0</v>
      </c>
      <c r="I21" t="n">
        <v>0</v>
      </c>
      <c r="J21" t="n">
        <v>2</v>
      </c>
      <c r="K21" t="n">
        <v>0</v>
      </c>
      <c r="L21" t="n">
        <v>0</v>
      </c>
      <c r="M21" t="n">
        <v>0</v>
      </c>
      <c r="N21" t="n">
        <v>0</v>
      </c>
      <c r="O21" t="n">
        <v>2</v>
      </c>
      <c r="P21" t="n">
        <v>0</v>
      </c>
      <c r="Q21" t="n">
        <v>2</v>
      </c>
      <c r="R21" s="2" t="inlineStr">
        <is>
          <t>Harticka
Rosenticka</t>
        </is>
      </c>
      <c r="S21">
        <f>HYPERLINK("https://klasma.github.io/Logging_2584/artfynd/A 62435-2022 artfynd.xlsx", "A 62435-2022")</f>
        <v/>
      </c>
      <c r="T21">
        <f>HYPERLINK("https://klasma.github.io/Logging_2584/kartor/A 62435-2022 karta.png", "A 62435-2022")</f>
        <v/>
      </c>
      <c r="V21">
        <f>HYPERLINK("https://klasma.github.io/Logging_2584/klagomål/A 62435-2022 FSC-klagomål.docx", "A 62435-2022")</f>
        <v/>
      </c>
      <c r="W21">
        <f>HYPERLINK("https://klasma.github.io/Logging_2584/klagomålsmail/A 62435-2022 FSC-klagomål mail.docx", "A 62435-2022")</f>
        <v/>
      </c>
      <c r="X21">
        <f>HYPERLINK("https://klasma.github.io/Logging_2584/tillsyn/A 62435-2022 tillsynsbegäran.docx", "A 62435-2022")</f>
        <v/>
      </c>
      <c r="Y21">
        <f>HYPERLINK("https://klasma.github.io/Logging_2584/tillsynsmail/A 62435-2022 tillsynsbegäran mail.docx", "A 62435-2022")</f>
        <v/>
      </c>
    </row>
    <row r="22" ht="15" customHeight="1">
      <c r="A22" t="inlineStr">
        <is>
          <t>A 64829-2023</t>
        </is>
      </c>
      <c r="B22" s="1" t="n">
        <v>45281</v>
      </c>
      <c r="C22" s="1" t="n">
        <v>45363</v>
      </c>
      <c r="D22" t="inlineStr">
        <is>
          <t>NORRBOTTENS LÄN</t>
        </is>
      </c>
      <c r="E22" t="inlineStr">
        <is>
          <t>KIRUNA</t>
        </is>
      </c>
      <c r="G22" t="n">
        <v>31.7</v>
      </c>
      <c r="H22" t="n">
        <v>1</v>
      </c>
      <c r="I22" t="n">
        <v>0</v>
      </c>
      <c r="J22" t="n">
        <v>1</v>
      </c>
      <c r="K22" t="n">
        <v>0</v>
      </c>
      <c r="L22" t="n">
        <v>0</v>
      </c>
      <c r="M22" t="n">
        <v>0</v>
      </c>
      <c r="N22" t="n">
        <v>0</v>
      </c>
      <c r="O22" t="n">
        <v>1</v>
      </c>
      <c r="P22" t="n">
        <v>0</v>
      </c>
      <c r="Q22" t="n">
        <v>2</v>
      </c>
      <c r="R22" s="2" t="inlineStr">
        <is>
          <t>Månlåsbräken
Mattlummer</t>
        </is>
      </c>
      <c r="S22">
        <f>HYPERLINK("https://klasma.github.io/Logging_2584/artfynd/A 64829-2023 artfynd.xlsx", "A 64829-2023")</f>
        <v/>
      </c>
      <c r="T22">
        <f>HYPERLINK("https://klasma.github.io/Logging_2584/kartor/A 64829-2023 karta.png", "A 64829-2023")</f>
        <v/>
      </c>
      <c r="V22">
        <f>HYPERLINK("https://klasma.github.io/Logging_2584/klagomål/A 64829-2023 FSC-klagomål.docx", "A 64829-2023")</f>
        <v/>
      </c>
      <c r="W22">
        <f>HYPERLINK("https://klasma.github.io/Logging_2584/klagomålsmail/A 64829-2023 FSC-klagomål mail.docx", "A 64829-2023")</f>
        <v/>
      </c>
      <c r="X22">
        <f>HYPERLINK("https://klasma.github.io/Logging_2584/tillsyn/A 64829-2023 tillsynsbegäran.docx", "A 64829-2023")</f>
        <v/>
      </c>
      <c r="Y22">
        <f>HYPERLINK("https://klasma.github.io/Logging_2584/tillsynsmail/A 64829-2023 tillsynsbegäran mail.docx", "A 64829-2023")</f>
        <v/>
      </c>
    </row>
    <row r="23" ht="15" customHeight="1">
      <c r="A23" t="inlineStr">
        <is>
          <t>A 22812-2019</t>
        </is>
      </c>
      <c r="B23" s="1" t="n">
        <v>43590</v>
      </c>
      <c r="C23" s="1" t="n">
        <v>45363</v>
      </c>
      <c r="D23" t="inlineStr">
        <is>
          <t>NORRBOTTENS LÄN</t>
        </is>
      </c>
      <c r="E23" t="inlineStr">
        <is>
          <t>KIRUNA</t>
        </is>
      </c>
      <c r="G23" t="n">
        <v>22.6</v>
      </c>
      <c r="H23" t="n">
        <v>0</v>
      </c>
      <c r="I23" t="n">
        <v>0</v>
      </c>
      <c r="J23" t="n">
        <v>1</v>
      </c>
      <c r="K23" t="n">
        <v>0</v>
      </c>
      <c r="L23" t="n">
        <v>0</v>
      </c>
      <c r="M23" t="n">
        <v>0</v>
      </c>
      <c r="N23" t="n">
        <v>0</v>
      </c>
      <c r="O23" t="n">
        <v>1</v>
      </c>
      <c r="P23" t="n">
        <v>0</v>
      </c>
      <c r="Q23" t="n">
        <v>1</v>
      </c>
      <c r="R23" s="2" t="inlineStr">
        <is>
          <t>Garnlav</t>
        </is>
      </c>
      <c r="S23">
        <f>HYPERLINK("https://klasma.github.io/Logging_2584/artfynd/A 22812-2019 artfynd.xlsx", "A 22812-2019")</f>
        <v/>
      </c>
      <c r="T23">
        <f>HYPERLINK("https://klasma.github.io/Logging_2584/kartor/A 22812-2019 karta.png", "A 22812-2019")</f>
        <v/>
      </c>
      <c r="V23">
        <f>HYPERLINK("https://klasma.github.io/Logging_2584/klagomål/A 22812-2019 FSC-klagomål.docx", "A 22812-2019")</f>
        <v/>
      </c>
      <c r="W23">
        <f>HYPERLINK("https://klasma.github.io/Logging_2584/klagomålsmail/A 22812-2019 FSC-klagomål mail.docx", "A 22812-2019")</f>
        <v/>
      </c>
      <c r="X23">
        <f>HYPERLINK("https://klasma.github.io/Logging_2584/tillsyn/A 22812-2019 tillsynsbegäran.docx", "A 22812-2019")</f>
        <v/>
      </c>
      <c r="Y23">
        <f>HYPERLINK("https://klasma.github.io/Logging_2584/tillsynsmail/A 22812-2019 tillsynsbegäran mail.docx", "A 22812-2019")</f>
        <v/>
      </c>
    </row>
    <row r="24" ht="15" customHeight="1">
      <c r="A24" t="inlineStr">
        <is>
          <t>A 61313-2019</t>
        </is>
      </c>
      <c r="B24" s="1" t="n">
        <v>43775</v>
      </c>
      <c r="C24" s="1" t="n">
        <v>45363</v>
      </c>
      <c r="D24" t="inlineStr">
        <is>
          <t>NORRBOTTENS LÄN</t>
        </is>
      </c>
      <c r="E24" t="inlineStr">
        <is>
          <t>KIRUNA</t>
        </is>
      </c>
      <c r="F24" t="inlineStr">
        <is>
          <t>Övriga statliga verk och myndigheter</t>
        </is>
      </c>
      <c r="G24" t="n">
        <v>28.7</v>
      </c>
      <c r="H24" t="n">
        <v>1</v>
      </c>
      <c r="I24" t="n">
        <v>0</v>
      </c>
      <c r="J24" t="n">
        <v>0</v>
      </c>
      <c r="K24" t="n">
        <v>1</v>
      </c>
      <c r="L24" t="n">
        <v>0</v>
      </c>
      <c r="M24" t="n">
        <v>0</v>
      </c>
      <c r="N24" t="n">
        <v>0</v>
      </c>
      <c r="O24" t="n">
        <v>1</v>
      </c>
      <c r="P24" t="n">
        <v>1</v>
      </c>
      <c r="Q24" t="n">
        <v>1</v>
      </c>
      <c r="R24" s="2" t="inlineStr">
        <is>
          <t>Norna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row>
    <row r="25" ht="15" customHeight="1">
      <c r="A25" t="inlineStr">
        <is>
          <t>A 45810-2022</t>
        </is>
      </c>
      <c r="B25" s="1" t="n">
        <v>44844</v>
      </c>
      <c r="C25" s="1" t="n">
        <v>45363</v>
      </c>
      <c r="D25" t="inlineStr">
        <is>
          <t>NORRBOTTENS LÄN</t>
        </is>
      </c>
      <c r="E25" t="inlineStr">
        <is>
          <t>KIRUNA</t>
        </is>
      </c>
      <c r="F25" t="inlineStr">
        <is>
          <t>Övriga statliga verk och myndigheter</t>
        </is>
      </c>
      <c r="G25" t="n">
        <v>6.8</v>
      </c>
      <c r="H25" t="n">
        <v>1</v>
      </c>
      <c r="I25" t="n">
        <v>0</v>
      </c>
      <c r="J25" t="n">
        <v>0</v>
      </c>
      <c r="K25" t="n">
        <v>0</v>
      </c>
      <c r="L25" t="n">
        <v>0</v>
      </c>
      <c r="M25" t="n">
        <v>0</v>
      </c>
      <c r="N25" t="n">
        <v>0</v>
      </c>
      <c r="O25" t="n">
        <v>0</v>
      </c>
      <c r="P25" t="n">
        <v>0</v>
      </c>
      <c r="Q25" t="n">
        <v>1</v>
      </c>
      <c r="R25" s="2" t="inlineStr">
        <is>
          <t>Revlummer</t>
        </is>
      </c>
      <c r="S25">
        <f>HYPERLINK("https://klasma.github.io/Logging_2584/artfynd/A 45810-2022 artfynd.xlsx", "A 45810-2022")</f>
        <v/>
      </c>
      <c r="T25">
        <f>HYPERLINK("https://klasma.github.io/Logging_2584/kartor/A 45810-2022 karta.png", "A 45810-2022")</f>
        <v/>
      </c>
      <c r="V25">
        <f>HYPERLINK("https://klasma.github.io/Logging_2584/klagomål/A 45810-2022 FSC-klagomål.docx", "A 45810-2022")</f>
        <v/>
      </c>
      <c r="W25">
        <f>HYPERLINK("https://klasma.github.io/Logging_2584/klagomålsmail/A 45810-2022 FSC-klagomål mail.docx", "A 45810-2022")</f>
        <v/>
      </c>
      <c r="X25">
        <f>HYPERLINK("https://klasma.github.io/Logging_2584/tillsyn/A 45810-2022 tillsynsbegäran.docx", "A 45810-2022")</f>
        <v/>
      </c>
      <c r="Y25">
        <f>HYPERLINK("https://klasma.github.io/Logging_2584/tillsynsmail/A 45810-2022 tillsynsbegäran mail.docx", "A 45810-2022")</f>
        <v/>
      </c>
    </row>
    <row r="26" ht="15" customHeight="1">
      <c r="A26" t="inlineStr">
        <is>
          <t>A 17740-2023</t>
        </is>
      </c>
      <c r="B26" s="1" t="n">
        <v>45035</v>
      </c>
      <c r="C26" s="1" t="n">
        <v>45363</v>
      </c>
      <c r="D26" t="inlineStr">
        <is>
          <t>NORRBOTTENS LÄN</t>
        </is>
      </c>
      <c r="E26" t="inlineStr">
        <is>
          <t>KIRUNA</t>
        </is>
      </c>
      <c r="F26" t="inlineStr">
        <is>
          <t>Allmännings- och besparingsskogar</t>
        </is>
      </c>
      <c r="G26" t="n">
        <v>20.1</v>
      </c>
      <c r="H26" t="n">
        <v>0</v>
      </c>
      <c r="I26" t="n">
        <v>0</v>
      </c>
      <c r="J26" t="n">
        <v>1</v>
      </c>
      <c r="K26" t="n">
        <v>0</v>
      </c>
      <c r="L26" t="n">
        <v>0</v>
      </c>
      <c r="M26" t="n">
        <v>0</v>
      </c>
      <c r="N26" t="n">
        <v>0</v>
      </c>
      <c r="O26" t="n">
        <v>1</v>
      </c>
      <c r="P26" t="n">
        <v>0</v>
      </c>
      <c r="Q26" t="n">
        <v>1</v>
      </c>
      <c r="R26" s="2" t="inlineStr">
        <is>
          <t>Knottrig blåslav</t>
        </is>
      </c>
      <c r="S26">
        <f>HYPERLINK("https://klasma.github.io/Logging_2584/artfynd/A 17740-2023 artfynd.xlsx", "A 17740-2023")</f>
        <v/>
      </c>
      <c r="T26">
        <f>HYPERLINK("https://klasma.github.io/Logging_2584/kartor/A 17740-2023 karta.png", "A 17740-2023")</f>
        <v/>
      </c>
      <c r="V26">
        <f>HYPERLINK("https://klasma.github.io/Logging_2584/klagomål/A 17740-2023 FSC-klagomål.docx", "A 17740-2023")</f>
        <v/>
      </c>
      <c r="W26">
        <f>HYPERLINK("https://klasma.github.io/Logging_2584/klagomålsmail/A 17740-2023 FSC-klagomål mail.docx", "A 17740-2023")</f>
        <v/>
      </c>
      <c r="X26">
        <f>HYPERLINK("https://klasma.github.io/Logging_2584/tillsyn/A 17740-2023 tillsynsbegäran.docx", "A 17740-2023")</f>
        <v/>
      </c>
      <c r="Y26">
        <f>HYPERLINK("https://klasma.github.io/Logging_2584/tillsynsmail/A 17740-2023 tillsynsbegäran mail.docx", "A 17740-2023")</f>
        <v/>
      </c>
    </row>
    <row r="27" ht="15" customHeight="1">
      <c r="A27" t="inlineStr">
        <is>
          <t>A 54895-2018</t>
        </is>
      </c>
      <c r="B27" s="1" t="n">
        <v>43395</v>
      </c>
      <c r="C27" s="1" t="n">
        <v>45363</v>
      </c>
      <c r="D27" t="inlineStr">
        <is>
          <t>NORRBOTTENS LÄN</t>
        </is>
      </c>
      <c r="E27" t="inlineStr">
        <is>
          <t>KIRUNA</t>
        </is>
      </c>
      <c r="G27" t="n">
        <v>20.2</v>
      </c>
      <c r="H27" t="n">
        <v>0</v>
      </c>
      <c r="I27" t="n">
        <v>0</v>
      </c>
      <c r="J27" t="n">
        <v>0</v>
      </c>
      <c r="K27" t="n">
        <v>0</v>
      </c>
      <c r="L27" t="n">
        <v>0</v>
      </c>
      <c r="M27" t="n">
        <v>0</v>
      </c>
      <c r="N27" t="n">
        <v>0</v>
      </c>
      <c r="O27" t="n">
        <v>0</v>
      </c>
      <c r="P27" t="n">
        <v>0</v>
      </c>
      <c r="Q27" t="n">
        <v>0</v>
      </c>
      <c r="R27" s="2" t="inlineStr"/>
    </row>
    <row r="28" ht="15" customHeight="1">
      <c r="A28" t="inlineStr">
        <is>
          <t>A 58215-2018</t>
        </is>
      </c>
      <c r="B28" s="1" t="n">
        <v>43408</v>
      </c>
      <c r="C28" s="1" t="n">
        <v>45363</v>
      </c>
      <c r="D28" t="inlineStr">
        <is>
          <t>NORRBOTTENS LÄN</t>
        </is>
      </c>
      <c r="E28" t="inlineStr">
        <is>
          <t>KIRUNA</t>
        </is>
      </c>
      <c r="G28" t="n">
        <v>11.4</v>
      </c>
      <c r="H28" t="n">
        <v>0</v>
      </c>
      <c r="I28" t="n">
        <v>0</v>
      </c>
      <c r="J28" t="n">
        <v>0</v>
      </c>
      <c r="K28" t="n">
        <v>0</v>
      </c>
      <c r="L28" t="n">
        <v>0</v>
      </c>
      <c r="M28" t="n">
        <v>0</v>
      </c>
      <c r="N28" t="n">
        <v>0</v>
      </c>
      <c r="O28" t="n">
        <v>0</v>
      </c>
      <c r="P28" t="n">
        <v>0</v>
      </c>
      <c r="Q28" t="n">
        <v>0</v>
      </c>
      <c r="R28" s="2" t="inlineStr"/>
    </row>
    <row r="29" ht="15" customHeight="1">
      <c r="A29" t="inlineStr">
        <is>
          <t>A 66120-2018</t>
        </is>
      </c>
      <c r="B29" s="1" t="n">
        <v>43426</v>
      </c>
      <c r="C29" s="1" t="n">
        <v>45363</v>
      </c>
      <c r="D29" t="inlineStr">
        <is>
          <t>NORRBOTTENS LÄN</t>
        </is>
      </c>
      <c r="E29" t="inlineStr">
        <is>
          <t>KIRUNA</t>
        </is>
      </c>
      <c r="G29" t="n">
        <v>20.5</v>
      </c>
      <c r="H29" t="n">
        <v>0</v>
      </c>
      <c r="I29" t="n">
        <v>0</v>
      </c>
      <c r="J29" t="n">
        <v>0</v>
      </c>
      <c r="K29" t="n">
        <v>0</v>
      </c>
      <c r="L29" t="n">
        <v>0</v>
      </c>
      <c r="M29" t="n">
        <v>0</v>
      </c>
      <c r="N29" t="n">
        <v>0</v>
      </c>
      <c r="O29" t="n">
        <v>0</v>
      </c>
      <c r="P29" t="n">
        <v>0</v>
      </c>
      <c r="Q29" t="n">
        <v>0</v>
      </c>
      <c r="R29" s="2" t="inlineStr"/>
    </row>
    <row r="30" ht="15" customHeight="1">
      <c r="A30" t="inlineStr">
        <is>
          <t>A 2365-2019</t>
        </is>
      </c>
      <c r="B30" s="1" t="n">
        <v>43468</v>
      </c>
      <c r="C30" s="1" t="n">
        <v>45363</v>
      </c>
      <c r="D30" t="inlineStr">
        <is>
          <t>NORRBOTTENS LÄN</t>
        </is>
      </c>
      <c r="E30" t="inlineStr">
        <is>
          <t>KIRUNA</t>
        </is>
      </c>
      <c r="G30" t="n">
        <v>4.7</v>
      </c>
      <c r="H30" t="n">
        <v>0</v>
      </c>
      <c r="I30" t="n">
        <v>0</v>
      </c>
      <c r="J30" t="n">
        <v>0</v>
      </c>
      <c r="K30" t="n">
        <v>0</v>
      </c>
      <c r="L30" t="n">
        <v>0</v>
      </c>
      <c r="M30" t="n">
        <v>0</v>
      </c>
      <c r="N30" t="n">
        <v>0</v>
      </c>
      <c r="O30" t="n">
        <v>0</v>
      </c>
      <c r="P30" t="n">
        <v>0</v>
      </c>
      <c r="Q30" t="n">
        <v>0</v>
      </c>
      <c r="R30" s="2" t="inlineStr"/>
    </row>
    <row r="31" ht="15" customHeight="1">
      <c r="A31" t="inlineStr">
        <is>
          <t>A 6537-2019</t>
        </is>
      </c>
      <c r="B31" s="1" t="n">
        <v>43487</v>
      </c>
      <c r="C31" s="1" t="n">
        <v>45363</v>
      </c>
      <c r="D31" t="inlineStr">
        <is>
          <t>NORRBOTTENS LÄN</t>
        </is>
      </c>
      <c r="E31" t="inlineStr">
        <is>
          <t>KIRUNA</t>
        </is>
      </c>
      <c r="G31" t="n">
        <v>11.6</v>
      </c>
      <c r="H31" t="n">
        <v>0</v>
      </c>
      <c r="I31" t="n">
        <v>0</v>
      </c>
      <c r="J31" t="n">
        <v>0</v>
      </c>
      <c r="K31" t="n">
        <v>0</v>
      </c>
      <c r="L31" t="n">
        <v>0</v>
      </c>
      <c r="M31" t="n">
        <v>0</v>
      </c>
      <c r="N31" t="n">
        <v>0</v>
      </c>
      <c r="O31" t="n">
        <v>0</v>
      </c>
      <c r="P31" t="n">
        <v>0</v>
      </c>
      <c r="Q31" t="n">
        <v>0</v>
      </c>
      <c r="R31" s="2" t="inlineStr"/>
    </row>
    <row r="32" ht="15" customHeight="1">
      <c r="A32" t="inlineStr">
        <is>
          <t>A 7300-2019</t>
        </is>
      </c>
      <c r="B32" s="1" t="n">
        <v>43489</v>
      </c>
      <c r="C32" s="1" t="n">
        <v>45363</v>
      </c>
      <c r="D32" t="inlineStr">
        <is>
          <t>NORRBOTTENS LÄN</t>
        </is>
      </c>
      <c r="E32" t="inlineStr">
        <is>
          <t>KIRUNA</t>
        </is>
      </c>
      <c r="F32" t="inlineStr">
        <is>
          <t>Övriga statliga verk och myndigheter</t>
        </is>
      </c>
      <c r="G32" t="n">
        <v>18.8</v>
      </c>
      <c r="H32" t="n">
        <v>0</v>
      </c>
      <c r="I32" t="n">
        <v>0</v>
      </c>
      <c r="J32" t="n">
        <v>0</v>
      </c>
      <c r="K32" t="n">
        <v>0</v>
      </c>
      <c r="L32" t="n">
        <v>0</v>
      </c>
      <c r="M32" t="n">
        <v>0</v>
      </c>
      <c r="N32" t="n">
        <v>0</v>
      </c>
      <c r="O32" t="n">
        <v>0</v>
      </c>
      <c r="P32" t="n">
        <v>0</v>
      </c>
      <c r="Q32" t="n">
        <v>0</v>
      </c>
      <c r="R32" s="2" t="inlineStr"/>
    </row>
    <row r="33" ht="15" customHeight="1">
      <c r="A33" t="inlineStr">
        <is>
          <t>A 7362-2019</t>
        </is>
      </c>
      <c r="B33" s="1" t="n">
        <v>43496</v>
      </c>
      <c r="C33" s="1" t="n">
        <v>45363</v>
      </c>
      <c r="D33" t="inlineStr">
        <is>
          <t>NORRBOTTENS LÄN</t>
        </is>
      </c>
      <c r="E33" t="inlineStr">
        <is>
          <t>KIRUNA</t>
        </is>
      </c>
      <c r="G33" t="n">
        <v>9.5</v>
      </c>
      <c r="H33" t="n">
        <v>0</v>
      </c>
      <c r="I33" t="n">
        <v>0</v>
      </c>
      <c r="J33" t="n">
        <v>0</v>
      </c>
      <c r="K33" t="n">
        <v>0</v>
      </c>
      <c r="L33" t="n">
        <v>0</v>
      </c>
      <c r="M33" t="n">
        <v>0</v>
      </c>
      <c r="N33" t="n">
        <v>0</v>
      </c>
      <c r="O33" t="n">
        <v>0</v>
      </c>
      <c r="P33" t="n">
        <v>0</v>
      </c>
      <c r="Q33" t="n">
        <v>0</v>
      </c>
      <c r="R33" s="2" t="inlineStr"/>
    </row>
    <row r="34" ht="15" customHeight="1">
      <c r="A34" t="inlineStr">
        <is>
          <t>A 10409-2019</t>
        </is>
      </c>
      <c r="B34" s="1" t="n">
        <v>43511</v>
      </c>
      <c r="C34" s="1" t="n">
        <v>45363</v>
      </c>
      <c r="D34" t="inlineStr">
        <is>
          <t>NORRBOTTENS LÄN</t>
        </is>
      </c>
      <c r="E34" t="inlineStr">
        <is>
          <t>KIRUNA</t>
        </is>
      </c>
      <c r="F34" t="inlineStr">
        <is>
          <t>Övriga statliga verk och myndigheter</t>
        </is>
      </c>
      <c r="G34" t="n">
        <v>4.8</v>
      </c>
      <c r="H34" t="n">
        <v>0</v>
      </c>
      <c r="I34" t="n">
        <v>0</v>
      </c>
      <c r="J34" t="n">
        <v>0</v>
      </c>
      <c r="K34" t="n">
        <v>0</v>
      </c>
      <c r="L34" t="n">
        <v>0</v>
      </c>
      <c r="M34" t="n">
        <v>0</v>
      </c>
      <c r="N34" t="n">
        <v>0</v>
      </c>
      <c r="O34" t="n">
        <v>0</v>
      </c>
      <c r="P34" t="n">
        <v>0</v>
      </c>
      <c r="Q34" t="n">
        <v>0</v>
      </c>
      <c r="R34" s="2" t="inlineStr"/>
    </row>
    <row r="35" ht="15" customHeight="1">
      <c r="A35" t="inlineStr">
        <is>
          <t>A 10406-2019</t>
        </is>
      </c>
      <c r="B35" s="1" t="n">
        <v>43511</v>
      </c>
      <c r="C35" s="1" t="n">
        <v>45363</v>
      </c>
      <c r="D35" t="inlineStr">
        <is>
          <t>NORRBOTTENS LÄN</t>
        </is>
      </c>
      <c r="E35" t="inlineStr">
        <is>
          <t>KIRUNA</t>
        </is>
      </c>
      <c r="F35" t="inlineStr">
        <is>
          <t>Kommuner</t>
        </is>
      </c>
      <c r="G35" t="n">
        <v>1.5</v>
      </c>
      <c r="H35" t="n">
        <v>0</v>
      </c>
      <c r="I35" t="n">
        <v>0</v>
      </c>
      <c r="J35" t="n">
        <v>0</v>
      </c>
      <c r="K35" t="n">
        <v>0</v>
      </c>
      <c r="L35" t="n">
        <v>0</v>
      </c>
      <c r="M35" t="n">
        <v>0</v>
      </c>
      <c r="N35" t="n">
        <v>0</v>
      </c>
      <c r="O35" t="n">
        <v>0</v>
      </c>
      <c r="P35" t="n">
        <v>0</v>
      </c>
      <c r="Q35" t="n">
        <v>0</v>
      </c>
      <c r="R35" s="2" t="inlineStr"/>
    </row>
    <row r="36" ht="15" customHeight="1">
      <c r="A36" t="inlineStr">
        <is>
          <t>A 17218-2019</t>
        </is>
      </c>
      <c r="B36" s="1" t="n">
        <v>43549</v>
      </c>
      <c r="C36" s="1" t="n">
        <v>45363</v>
      </c>
      <c r="D36" t="inlineStr">
        <is>
          <t>NORRBOTTENS LÄN</t>
        </is>
      </c>
      <c r="E36" t="inlineStr">
        <is>
          <t>KIRUNA</t>
        </is>
      </c>
      <c r="F36" t="inlineStr">
        <is>
          <t>Allmännings- och besparingsskogar</t>
        </is>
      </c>
      <c r="G36" t="n">
        <v>9.5</v>
      </c>
      <c r="H36" t="n">
        <v>0</v>
      </c>
      <c r="I36" t="n">
        <v>0</v>
      </c>
      <c r="J36" t="n">
        <v>0</v>
      </c>
      <c r="K36" t="n">
        <v>0</v>
      </c>
      <c r="L36" t="n">
        <v>0</v>
      </c>
      <c r="M36" t="n">
        <v>0</v>
      </c>
      <c r="N36" t="n">
        <v>0</v>
      </c>
      <c r="O36" t="n">
        <v>0</v>
      </c>
      <c r="P36" t="n">
        <v>0</v>
      </c>
      <c r="Q36" t="n">
        <v>0</v>
      </c>
      <c r="R36" s="2" t="inlineStr"/>
    </row>
    <row r="37" ht="15" customHeight="1">
      <c r="A37" t="inlineStr">
        <is>
          <t>A 28894-2019</t>
        </is>
      </c>
      <c r="B37" s="1" t="n">
        <v>43619</v>
      </c>
      <c r="C37" s="1" t="n">
        <v>45363</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36621-2019</t>
        </is>
      </c>
      <c r="B38" s="1" t="n">
        <v>43671</v>
      </c>
      <c r="C38" s="1" t="n">
        <v>45363</v>
      </c>
      <c r="D38" t="inlineStr">
        <is>
          <t>NORRBOTTENS LÄN</t>
        </is>
      </c>
      <c r="E38" t="inlineStr">
        <is>
          <t>KIRUNA</t>
        </is>
      </c>
      <c r="G38" t="n">
        <v>10.3</v>
      </c>
      <c r="H38" t="n">
        <v>0</v>
      </c>
      <c r="I38" t="n">
        <v>0</v>
      </c>
      <c r="J38" t="n">
        <v>0</v>
      </c>
      <c r="K38" t="n">
        <v>0</v>
      </c>
      <c r="L38" t="n">
        <v>0</v>
      </c>
      <c r="M38" t="n">
        <v>0</v>
      </c>
      <c r="N38" t="n">
        <v>0</v>
      </c>
      <c r="O38" t="n">
        <v>0</v>
      </c>
      <c r="P38" t="n">
        <v>0</v>
      </c>
      <c r="Q38" t="n">
        <v>0</v>
      </c>
      <c r="R38" s="2" t="inlineStr"/>
    </row>
    <row r="39" ht="15" customHeight="1">
      <c r="A39" t="inlineStr">
        <is>
          <t>A 59736-2019</t>
        </is>
      </c>
      <c r="B39" s="1" t="n">
        <v>43776</v>
      </c>
      <c r="C39" s="1" t="n">
        <v>45363</v>
      </c>
      <c r="D39" t="inlineStr">
        <is>
          <t>NORRBOTTENS LÄN</t>
        </is>
      </c>
      <c r="E39" t="inlineStr">
        <is>
          <t>KIRUNA</t>
        </is>
      </c>
      <c r="G39" t="n">
        <v>21.8</v>
      </c>
      <c r="H39" t="n">
        <v>0</v>
      </c>
      <c r="I39" t="n">
        <v>0</v>
      </c>
      <c r="J39" t="n">
        <v>0</v>
      </c>
      <c r="K39" t="n">
        <v>0</v>
      </c>
      <c r="L39" t="n">
        <v>0</v>
      </c>
      <c r="M39" t="n">
        <v>0</v>
      </c>
      <c r="N39" t="n">
        <v>0</v>
      </c>
      <c r="O39" t="n">
        <v>0</v>
      </c>
      <c r="P39" t="n">
        <v>0</v>
      </c>
      <c r="Q39" t="n">
        <v>0</v>
      </c>
      <c r="R39" s="2" t="inlineStr"/>
    </row>
    <row r="40" ht="15" customHeight="1">
      <c r="A40" t="inlineStr">
        <is>
          <t>A 60786-2019</t>
        </is>
      </c>
      <c r="B40" s="1" t="n">
        <v>43777</v>
      </c>
      <c r="C40" s="1" t="n">
        <v>45363</v>
      </c>
      <c r="D40" t="inlineStr">
        <is>
          <t>NORRBOTTENS LÄN</t>
        </is>
      </c>
      <c r="E40" t="inlineStr">
        <is>
          <t>KIRUNA</t>
        </is>
      </c>
      <c r="G40" t="n">
        <v>20</v>
      </c>
      <c r="H40" t="n">
        <v>0</v>
      </c>
      <c r="I40" t="n">
        <v>0</v>
      </c>
      <c r="J40" t="n">
        <v>0</v>
      </c>
      <c r="K40" t="n">
        <v>0</v>
      </c>
      <c r="L40" t="n">
        <v>0</v>
      </c>
      <c r="M40" t="n">
        <v>0</v>
      </c>
      <c r="N40" t="n">
        <v>0</v>
      </c>
      <c r="O40" t="n">
        <v>0</v>
      </c>
      <c r="P40" t="n">
        <v>0</v>
      </c>
      <c r="Q40" t="n">
        <v>0</v>
      </c>
      <c r="R40" s="2" t="inlineStr"/>
    </row>
    <row r="41" ht="15" customHeight="1">
      <c r="A41" t="inlineStr">
        <is>
          <t>A 60754-2019</t>
        </is>
      </c>
      <c r="B41" s="1" t="n">
        <v>43777</v>
      </c>
      <c r="C41" s="1" t="n">
        <v>45363</v>
      </c>
      <c r="D41" t="inlineStr">
        <is>
          <t>NORRBOTTENS LÄN</t>
        </is>
      </c>
      <c r="E41" t="inlineStr">
        <is>
          <t>KIRUNA</t>
        </is>
      </c>
      <c r="G41" t="n">
        <v>14.8</v>
      </c>
      <c r="H41" t="n">
        <v>0</v>
      </c>
      <c r="I41" t="n">
        <v>0</v>
      </c>
      <c r="J41" t="n">
        <v>0</v>
      </c>
      <c r="K41" t="n">
        <v>0</v>
      </c>
      <c r="L41" t="n">
        <v>0</v>
      </c>
      <c r="M41" t="n">
        <v>0</v>
      </c>
      <c r="N41" t="n">
        <v>0</v>
      </c>
      <c r="O41" t="n">
        <v>0</v>
      </c>
      <c r="P41" t="n">
        <v>0</v>
      </c>
      <c r="Q41" t="n">
        <v>0</v>
      </c>
      <c r="R41" s="2" t="inlineStr"/>
    </row>
    <row r="42" ht="15" customHeight="1">
      <c r="A42" t="inlineStr">
        <is>
          <t>A 60769-2019</t>
        </is>
      </c>
      <c r="B42" s="1" t="n">
        <v>43777</v>
      </c>
      <c r="C42" s="1" t="n">
        <v>45363</v>
      </c>
      <c r="D42" t="inlineStr">
        <is>
          <t>NORRBOTTENS LÄN</t>
        </is>
      </c>
      <c r="E42" t="inlineStr">
        <is>
          <t>KIRUNA</t>
        </is>
      </c>
      <c r="G42" t="n">
        <v>8.199999999999999</v>
      </c>
      <c r="H42" t="n">
        <v>0</v>
      </c>
      <c r="I42" t="n">
        <v>0</v>
      </c>
      <c r="J42" t="n">
        <v>0</v>
      </c>
      <c r="K42" t="n">
        <v>0</v>
      </c>
      <c r="L42" t="n">
        <v>0</v>
      </c>
      <c r="M42" t="n">
        <v>0</v>
      </c>
      <c r="N42" t="n">
        <v>0</v>
      </c>
      <c r="O42" t="n">
        <v>0</v>
      </c>
      <c r="P42" t="n">
        <v>0</v>
      </c>
      <c r="Q42" t="n">
        <v>0</v>
      </c>
      <c r="R42" s="2" t="inlineStr"/>
    </row>
    <row r="43" ht="15" customHeight="1">
      <c r="A43" t="inlineStr">
        <is>
          <t>A 5296-2020</t>
        </is>
      </c>
      <c r="B43" s="1" t="n">
        <v>43854</v>
      </c>
      <c r="C43" s="1" t="n">
        <v>45363</v>
      </c>
      <c r="D43" t="inlineStr">
        <is>
          <t>NORRBOTTENS LÄN</t>
        </is>
      </c>
      <c r="E43" t="inlineStr">
        <is>
          <t>KIRUNA</t>
        </is>
      </c>
      <c r="F43" t="inlineStr">
        <is>
          <t>Allmännings- och besparingsskogar</t>
        </is>
      </c>
      <c r="G43" t="n">
        <v>1.3</v>
      </c>
      <c r="H43" t="n">
        <v>0</v>
      </c>
      <c r="I43" t="n">
        <v>0</v>
      </c>
      <c r="J43" t="n">
        <v>0</v>
      </c>
      <c r="K43" t="n">
        <v>0</v>
      </c>
      <c r="L43" t="n">
        <v>0</v>
      </c>
      <c r="M43" t="n">
        <v>0</v>
      </c>
      <c r="N43" t="n">
        <v>0</v>
      </c>
      <c r="O43" t="n">
        <v>0</v>
      </c>
      <c r="P43" t="n">
        <v>0</v>
      </c>
      <c r="Q43" t="n">
        <v>0</v>
      </c>
      <c r="R43" s="2" t="inlineStr"/>
    </row>
    <row r="44" ht="15" customHeight="1">
      <c r="A44" t="inlineStr">
        <is>
          <t>A 4966-2020</t>
        </is>
      </c>
      <c r="B44" s="1" t="n">
        <v>43857</v>
      </c>
      <c r="C44" s="1" t="n">
        <v>45363</v>
      </c>
      <c r="D44" t="inlineStr">
        <is>
          <t>NORRBOTTENS LÄN</t>
        </is>
      </c>
      <c r="E44" t="inlineStr">
        <is>
          <t>KIRUNA</t>
        </is>
      </c>
      <c r="F44" t="inlineStr">
        <is>
          <t>Kommuner</t>
        </is>
      </c>
      <c r="G44" t="n">
        <v>0.3</v>
      </c>
      <c r="H44" t="n">
        <v>0</v>
      </c>
      <c r="I44" t="n">
        <v>0</v>
      </c>
      <c r="J44" t="n">
        <v>0</v>
      </c>
      <c r="K44" t="n">
        <v>0</v>
      </c>
      <c r="L44" t="n">
        <v>0</v>
      </c>
      <c r="M44" t="n">
        <v>0</v>
      </c>
      <c r="N44" t="n">
        <v>0</v>
      </c>
      <c r="O44" t="n">
        <v>0</v>
      </c>
      <c r="P44" t="n">
        <v>0</v>
      </c>
      <c r="Q44" t="n">
        <v>0</v>
      </c>
      <c r="R44" s="2" t="inlineStr"/>
    </row>
    <row r="45" ht="15" customHeight="1">
      <c r="A45" t="inlineStr">
        <is>
          <t>A 4963-2020</t>
        </is>
      </c>
      <c r="B45" s="1" t="n">
        <v>43857</v>
      </c>
      <c r="C45" s="1" t="n">
        <v>45363</v>
      </c>
      <c r="D45" t="inlineStr">
        <is>
          <t>NORRBOTTENS LÄN</t>
        </is>
      </c>
      <c r="E45" t="inlineStr">
        <is>
          <t>KIRUNA</t>
        </is>
      </c>
      <c r="F45" t="inlineStr">
        <is>
          <t>Övriga statliga verk och myndigheter</t>
        </is>
      </c>
      <c r="G45" t="n">
        <v>0.2</v>
      </c>
      <c r="H45" t="n">
        <v>0</v>
      </c>
      <c r="I45" t="n">
        <v>0</v>
      </c>
      <c r="J45" t="n">
        <v>0</v>
      </c>
      <c r="K45" t="n">
        <v>0</v>
      </c>
      <c r="L45" t="n">
        <v>0</v>
      </c>
      <c r="M45" t="n">
        <v>0</v>
      </c>
      <c r="N45" t="n">
        <v>0</v>
      </c>
      <c r="O45" t="n">
        <v>0</v>
      </c>
      <c r="P45" t="n">
        <v>0</v>
      </c>
      <c r="Q45" t="n">
        <v>0</v>
      </c>
      <c r="R45" s="2" t="inlineStr"/>
    </row>
    <row r="46" ht="15" customHeight="1">
      <c r="A46" t="inlineStr">
        <is>
          <t>A 4962-2020</t>
        </is>
      </c>
      <c r="B46" s="1" t="n">
        <v>43857</v>
      </c>
      <c r="C46" s="1" t="n">
        <v>45363</v>
      </c>
      <c r="D46" t="inlineStr">
        <is>
          <t>NORRBOTTENS LÄN</t>
        </is>
      </c>
      <c r="E46" t="inlineStr">
        <is>
          <t>KIRUNA</t>
        </is>
      </c>
      <c r="F46" t="inlineStr">
        <is>
          <t>Kommuner</t>
        </is>
      </c>
      <c r="G46" t="n">
        <v>1.6</v>
      </c>
      <c r="H46" t="n">
        <v>0</v>
      </c>
      <c r="I46" t="n">
        <v>0</v>
      </c>
      <c r="J46" t="n">
        <v>0</v>
      </c>
      <c r="K46" t="n">
        <v>0</v>
      </c>
      <c r="L46" t="n">
        <v>0</v>
      </c>
      <c r="M46" t="n">
        <v>0</v>
      </c>
      <c r="N46" t="n">
        <v>0</v>
      </c>
      <c r="O46" t="n">
        <v>0</v>
      </c>
      <c r="P46" t="n">
        <v>0</v>
      </c>
      <c r="Q46" t="n">
        <v>0</v>
      </c>
      <c r="R46" s="2" t="inlineStr"/>
    </row>
    <row r="47" ht="15" customHeight="1">
      <c r="A47" t="inlineStr">
        <is>
          <t>A 17246-2020</t>
        </is>
      </c>
      <c r="B47" s="1" t="n">
        <v>43916</v>
      </c>
      <c r="C47" s="1" t="n">
        <v>45363</v>
      </c>
      <c r="D47" t="inlineStr">
        <is>
          <t>NORRBOTTENS LÄN</t>
        </is>
      </c>
      <c r="E47" t="inlineStr">
        <is>
          <t>KIRUNA</t>
        </is>
      </c>
      <c r="G47" t="n">
        <v>52.4</v>
      </c>
      <c r="H47" t="n">
        <v>0</v>
      </c>
      <c r="I47" t="n">
        <v>0</v>
      </c>
      <c r="J47" t="n">
        <v>0</v>
      </c>
      <c r="K47" t="n">
        <v>0</v>
      </c>
      <c r="L47" t="n">
        <v>0</v>
      </c>
      <c r="M47" t="n">
        <v>0</v>
      </c>
      <c r="N47" t="n">
        <v>0</v>
      </c>
      <c r="O47" t="n">
        <v>0</v>
      </c>
      <c r="P47" t="n">
        <v>0</v>
      </c>
      <c r="Q47" t="n">
        <v>0</v>
      </c>
      <c r="R47" s="2" t="inlineStr"/>
    </row>
    <row r="48" ht="15" customHeight="1">
      <c r="A48" t="inlineStr">
        <is>
          <t>A 17074-2020</t>
        </is>
      </c>
      <c r="B48" s="1" t="n">
        <v>43921</v>
      </c>
      <c r="C48" s="1" t="n">
        <v>45363</v>
      </c>
      <c r="D48" t="inlineStr">
        <is>
          <t>NORRBOTTENS LÄN</t>
        </is>
      </c>
      <c r="E48" t="inlineStr">
        <is>
          <t>KIRUNA</t>
        </is>
      </c>
      <c r="G48" t="n">
        <v>11</v>
      </c>
      <c r="H48" t="n">
        <v>0</v>
      </c>
      <c r="I48" t="n">
        <v>0</v>
      </c>
      <c r="J48" t="n">
        <v>0</v>
      </c>
      <c r="K48" t="n">
        <v>0</v>
      </c>
      <c r="L48" t="n">
        <v>0</v>
      </c>
      <c r="M48" t="n">
        <v>0</v>
      </c>
      <c r="N48" t="n">
        <v>0</v>
      </c>
      <c r="O48" t="n">
        <v>0</v>
      </c>
      <c r="P48" t="n">
        <v>0</v>
      </c>
      <c r="Q48" t="n">
        <v>0</v>
      </c>
      <c r="R48" s="2" t="inlineStr"/>
    </row>
    <row r="49" ht="15" customHeight="1">
      <c r="A49" t="inlineStr">
        <is>
          <t>A 17073-2020</t>
        </is>
      </c>
      <c r="B49" s="1" t="n">
        <v>43921</v>
      </c>
      <c r="C49" s="1" t="n">
        <v>45363</v>
      </c>
      <c r="D49" t="inlineStr">
        <is>
          <t>NORRBOTTENS LÄN</t>
        </is>
      </c>
      <c r="E49" t="inlineStr">
        <is>
          <t>KIRUNA</t>
        </is>
      </c>
      <c r="G49" t="n">
        <v>21</v>
      </c>
      <c r="H49" t="n">
        <v>0</v>
      </c>
      <c r="I49" t="n">
        <v>0</v>
      </c>
      <c r="J49" t="n">
        <v>0</v>
      </c>
      <c r="K49" t="n">
        <v>0</v>
      </c>
      <c r="L49" t="n">
        <v>0</v>
      </c>
      <c r="M49" t="n">
        <v>0</v>
      </c>
      <c r="N49" t="n">
        <v>0</v>
      </c>
      <c r="O49" t="n">
        <v>0</v>
      </c>
      <c r="P49" t="n">
        <v>0</v>
      </c>
      <c r="Q49" t="n">
        <v>0</v>
      </c>
      <c r="R49" s="2" t="inlineStr"/>
    </row>
    <row r="50" ht="15" customHeight="1">
      <c r="A50" t="inlineStr">
        <is>
          <t>A 17071-2020</t>
        </is>
      </c>
      <c r="B50" s="1" t="n">
        <v>43921</v>
      </c>
      <c r="C50" s="1" t="n">
        <v>45363</v>
      </c>
      <c r="D50" t="inlineStr">
        <is>
          <t>NORRBOTTENS LÄN</t>
        </is>
      </c>
      <c r="E50" t="inlineStr">
        <is>
          <t>KIRUNA</t>
        </is>
      </c>
      <c r="G50" t="n">
        <v>14.8</v>
      </c>
      <c r="H50" t="n">
        <v>0</v>
      </c>
      <c r="I50" t="n">
        <v>0</v>
      </c>
      <c r="J50" t="n">
        <v>0</v>
      </c>
      <c r="K50" t="n">
        <v>0</v>
      </c>
      <c r="L50" t="n">
        <v>0</v>
      </c>
      <c r="M50" t="n">
        <v>0</v>
      </c>
      <c r="N50" t="n">
        <v>0</v>
      </c>
      <c r="O50" t="n">
        <v>0</v>
      </c>
      <c r="P50" t="n">
        <v>0</v>
      </c>
      <c r="Q50" t="n">
        <v>0</v>
      </c>
      <c r="R50" s="2" t="inlineStr"/>
    </row>
    <row r="51" ht="15" customHeight="1">
      <c r="A51" t="inlineStr">
        <is>
          <t>A 17070-2020</t>
        </is>
      </c>
      <c r="B51" s="1" t="n">
        <v>43921</v>
      </c>
      <c r="C51" s="1" t="n">
        <v>45363</v>
      </c>
      <c r="D51" t="inlineStr">
        <is>
          <t>NORRBOTTENS LÄN</t>
        </is>
      </c>
      <c r="E51" t="inlineStr">
        <is>
          <t>KIRUNA</t>
        </is>
      </c>
      <c r="G51" t="n">
        <v>33.9</v>
      </c>
      <c r="H51" t="n">
        <v>0</v>
      </c>
      <c r="I51" t="n">
        <v>0</v>
      </c>
      <c r="J51" t="n">
        <v>0</v>
      </c>
      <c r="K51" t="n">
        <v>0</v>
      </c>
      <c r="L51" t="n">
        <v>0</v>
      </c>
      <c r="M51" t="n">
        <v>0</v>
      </c>
      <c r="N51" t="n">
        <v>0</v>
      </c>
      <c r="O51" t="n">
        <v>0</v>
      </c>
      <c r="P51" t="n">
        <v>0</v>
      </c>
      <c r="Q51" t="n">
        <v>0</v>
      </c>
      <c r="R51" s="2" t="inlineStr"/>
    </row>
    <row r="52" ht="15" customHeight="1">
      <c r="A52" t="inlineStr">
        <is>
          <t>A 19632-2020</t>
        </is>
      </c>
      <c r="B52" s="1" t="n">
        <v>43936</v>
      </c>
      <c r="C52" s="1" t="n">
        <v>45363</v>
      </c>
      <c r="D52" t="inlineStr">
        <is>
          <t>NORRBOTTENS LÄN</t>
        </is>
      </c>
      <c r="E52" t="inlineStr">
        <is>
          <t>KIRUNA</t>
        </is>
      </c>
      <c r="G52" t="n">
        <v>4.6</v>
      </c>
      <c r="H52" t="n">
        <v>0</v>
      </c>
      <c r="I52" t="n">
        <v>0</v>
      </c>
      <c r="J52" t="n">
        <v>0</v>
      </c>
      <c r="K52" t="n">
        <v>0</v>
      </c>
      <c r="L52" t="n">
        <v>0</v>
      </c>
      <c r="M52" t="n">
        <v>0</v>
      </c>
      <c r="N52" t="n">
        <v>0</v>
      </c>
      <c r="O52" t="n">
        <v>0</v>
      </c>
      <c r="P52" t="n">
        <v>0</v>
      </c>
      <c r="Q52" t="n">
        <v>0</v>
      </c>
      <c r="R52" s="2" t="inlineStr"/>
    </row>
    <row r="53" ht="15" customHeight="1">
      <c r="A53" t="inlineStr">
        <is>
          <t>A 38331-2020</t>
        </is>
      </c>
      <c r="B53" s="1" t="n">
        <v>44060</v>
      </c>
      <c r="C53" s="1" t="n">
        <v>45363</v>
      </c>
      <c r="D53" t="inlineStr">
        <is>
          <t>NORRBOTTENS LÄN</t>
        </is>
      </c>
      <c r="E53" t="inlineStr">
        <is>
          <t>KIRUNA</t>
        </is>
      </c>
      <c r="F53" t="inlineStr">
        <is>
          <t>Allmännings- och besparingsskogar</t>
        </is>
      </c>
      <c r="G53" t="n">
        <v>0.8</v>
      </c>
      <c r="H53" t="n">
        <v>0</v>
      </c>
      <c r="I53" t="n">
        <v>0</v>
      </c>
      <c r="J53" t="n">
        <v>0</v>
      </c>
      <c r="K53" t="n">
        <v>0</v>
      </c>
      <c r="L53" t="n">
        <v>0</v>
      </c>
      <c r="M53" t="n">
        <v>0</v>
      </c>
      <c r="N53" t="n">
        <v>0</v>
      </c>
      <c r="O53" t="n">
        <v>0</v>
      </c>
      <c r="P53" t="n">
        <v>0</v>
      </c>
      <c r="Q53" t="n">
        <v>0</v>
      </c>
      <c r="R53" s="2" t="inlineStr"/>
    </row>
    <row r="54" ht="15" customHeight="1">
      <c r="A54" t="inlineStr">
        <is>
          <t>A 38813-2020</t>
        </is>
      </c>
      <c r="B54" s="1" t="n">
        <v>44061</v>
      </c>
      <c r="C54" s="1" t="n">
        <v>45363</v>
      </c>
      <c r="D54" t="inlineStr">
        <is>
          <t>NORRBOTTENS LÄN</t>
        </is>
      </c>
      <c r="E54" t="inlineStr">
        <is>
          <t>KIRUNA</t>
        </is>
      </c>
      <c r="G54" t="n">
        <v>26.9</v>
      </c>
      <c r="H54" t="n">
        <v>0</v>
      </c>
      <c r="I54" t="n">
        <v>0</v>
      </c>
      <c r="J54" t="n">
        <v>0</v>
      </c>
      <c r="K54" t="n">
        <v>0</v>
      </c>
      <c r="L54" t="n">
        <v>0</v>
      </c>
      <c r="M54" t="n">
        <v>0</v>
      </c>
      <c r="N54" t="n">
        <v>0</v>
      </c>
      <c r="O54" t="n">
        <v>0</v>
      </c>
      <c r="P54" t="n">
        <v>0</v>
      </c>
      <c r="Q54" t="n">
        <v>0</v>
      </c>
      <c r="R54" s="2" t="inlineStr"/>
    </row>
    <row r="55" ht="15" customHeight="1">
      <c r="A55" t="inlineStr">
        <is>
          <t>A 46343-2020</t>
        </is>
      </c>
      <c r="B55" s="1" t="n">
        <v>44092</v>
      </c>
      <c r="C55" s="1" t="n">
        <v>45363</v>
      </c>
      <c r="D55" t="inlineStr">
        <is>
          <t>NORRBOTTENS LÄN</t>
        </is>
      </c>
      <c r="E55" t="inlineStr">
        <is>
          <t>KIRUNA</t>
        </is>
      </c>
      <c r="G55" t="n">
        <v>0.7</v>
      </c>
      <c r="H55" t="n">
        <v>0</v>
      </c>
      <c r="I55" t="n">
        <v>0</v>
      </c>
      <c r="J55" t="n">
        <v>0</v>
      </c>
      <c r="K55" t="n">
        <v>0</v>
      </c>
      <c r="L55" t="n">
        <v>0</v>
      </c>
      <c r="M55" t="n">
        <v>0</v>
      </c>
      <c r="N55" t="n">
        <v>0</v>
      </c>
      <c r="O55" t="n">
        <v>0</v>
      </c>
      <c r="P55" t="n">
        <v>0</v>
      </c>
      <c r="Q55" t="n">
        <v>0</v>
      </c>
      <c r="R55" s="2" t="inlineStr"/>
    </row>
    <row r="56" ht="15" customHeight="1">
      <c r="A56" t="inlineStr">
        <is>
          <t>A 60979-2020</t>
        </is>
      </c>
      <c r="B56" s="1" t="n">
        <v>44154</v>
      </c>
      <c r="C56" s="1" t="n">
        <v>45363</v>
      </c>
      <c r="D56" t="inlineStr">
        <is>
          <t>NORRBOTTENS LÄN</t>
        </is>
      </c>
      <c r="E56" t="inlineStr">
        <is>
          <t>KIRUNA</t>
        </is>
      </c>
      <c r="G56" t="n">
        <v>2.2</v>
      </c>
      <c r="H56" t="n">
        <v>0</v>
      </c>
      <c r="I56" t="n">
        <v>0</v>
      </c>
      <c r="J56" t="n">
        <v>0</v>
      </c>
      <c r="K56" t="n">
        <v>0</v>
      </c>
      <c r="L56" t="n">
        <v>0</v>
      </c>
      <c r="M56" t="n">
        <v>0</v>
      </c>
      <c r="N56" t="n">
        <v>0</v>
      </c>
      <c r="O56" t="n">
        <v>0</v>
      </c>
      <c r="P56" t="n">
        <v>0</v>
      </c>
      <c r="Q56" t="n">
        <v>0</v>
      </c>
      <c r="R56" s="2" t="inlineStr"/>
    </row>
    <row r="57" ht="15" customHeight="1">
      <c r="A57" t="inlineStr">
        <is>
          <t>A 63345-2020</t>
        </is>
      </c>
      <c r="B57" s="1" t="n">
        <v>44165</v>
      </c>
      <c r="C57" s="1" t="n">
        <v>45363</v>
      </c>
      <c r="D57" t="inlineStr">
        <is>
          <t>NORRBOTTENS LÄN</t>
        </is>
      </c>
      <c r="E57" t="inlineStr">
        <is>
          <t>KIRUNA</t>
        </is>
      </c>
      <c r="G57" t="n">
        <v>80.09999999999999</v>
      </c>
      <c r="H57" t="n">
        <v>0</v>
      </c>
      <c r="I57" t="n">
        <v>0</v>
      </c>
      <c r="J57" t="n">
        <v>0</v>
      </c>
      <c r="K57" t="n">
        <v>0</v>
      </c>
      <c r="L57" t="n">
        <v>0</v>
      </c>
      <c r="M57" t="n">
        <v>0</v>
      </c>
      <c r="N57" t="n">
        <v>0</v>
      </c>
      <c r="O57" t="n">
        <v>0</v>
      </c>
      <c r="P57" t="n">
        <v>0</v>
      </c>
      <c r="Q57" t="n">
        <v>0</v>
      </c>
      <c r="R57" s="2" t="inlineStr"/>
    </row>
    <row r="58" ht="15" customHeight="1">
      <c r="A58" t="inlineStr">
        <is>
          <t>A 3438-2021</t>
        </is>
      </c>
      <c r="B58" s="1" t="n">
        <v>44216</v>
      </c>
      <c r="C58" s="1" t="n">
        <v>45363</v>
      </c>
      <c r="D58" t="inlineStr">
        <is>
          <t>NORRBOTTENS LÄN</t>
        </is>
      </c>
      <c r="E58" t="inlineStr">
        <is>
          <t>KIRUNA</t>
        </is>
      </c>
      <c r="G58" t="n">
        <v>1.4</v>
      </c>
      <c r="H58" t="n">
        <v>0</v>
      </c>
      <c r="I58" t="n">
        <v>0</v>
      </c>
      <c r="J58" t="n">
        <v>0</v>
      </c>
      <c r="K58" t="n">
        <v>0</v>
      </c>
      <c r="L58" t="n">
        <v>0</v>
      </c>
      <c r="M58" t="n">
        <v>0</v>
      </c>
      <c r="N58" t="n">
        <v>0</v>
      </c>
      <c r="O58" t="n">
        <v>0</v>
      </c>
      <c r="P58" t="n">
        <v>0</v>
      </c>
      <c r="Q58" t="n">
        <v>0</v>
      </c>
      <c r="R58" s="2" t="inlineStr"/>
    </row>
    <row r="59" ht="15" customHeight="1">
      <c r="A59" t="inlineStr">
        <is>
          <t>A 6887-2021</t>
        </is>
      </c>
      <c r="B59" s="1" t="n">
        <v>44237</v>
      </c>
      <c r="C59" s="1" t="n">
        <v>45363</v>
      </c>
      <c r="D59" t="inlineStr">
        <is>
          <t>NORRBOTTENS LÄN</t>
        </is>
      </c>
      <c r="E59" t="inlineStr">
        <is>
          <t>KIRUNA</t>
        </is>
      </c>
      <c r="G59" t="n">
        <v>1.8</v>
      </c>
      <c r="H59" t="n">
        <v>0</v>
      </c>
      <c r="I59" t="n">
        <v>0</v>
      </c>
      <c r="J59" t="n">
        <v>0</v>
      </c>
      <c r="K59" t="n">
        <v>0</v>
      </c>
      <c r="L59" t="n">
        <v>0</v>
      </c>
      <c r="M59" t="n">
        <v>0</v>
      </c>
      <c r="N59" t="n">
        <v>0</v>
      </c>
      <c r="O59" t="n">
        <v>0</v>
      </c>
      <c r="P59" t="n">
        <v>0</v>
      </c>
      <c r="Q59" t="n">
        <v>0</v>
      </c>
      <c r="R59" s="2" t="inlineStr"/>
    </row>
    <row r="60" ht="15" customHeight="1">
      <c r="A60" t="inlineStr">
        <is>
          <t>A 6896-2021</t>
        </is>
      </c>
      <c r="B60" s="1" t="n">
        <v>44237</v>
      </c>
      <c r="C60" s="1" t="n">
        <v>45363</v>
      </c>
      <c r="D60" t="inlineStr">
        <is>
          <t>NORRBOTTENS LÄN</t>
        </is>
      </c>
      <c r="E60" t="inlineStr">
        <is>
          <t>KIRUNA</t>
        </is>
      </c>
      <c r="G60" t="n">
        <v>5.3</v>
      </c>
      <c r="H60" t="n">
        <v>0</v>
      </c>
      <c r="I60" t="n">
        <v>0</v>
      </c>
      <c r="J60" t="n">
        <v>0</v>
      </c>
      <c r="K60" t="n">
        <v>0</v>
      </c>
      <c r="L60" t="n">
        <v>0</v>
      </c>
      <c r="M60" t="n">
        <v>0</v>
      </c>
      <c r="N60" t="n">
        <v>0</v>
      </c>
      <c r="O60" t="n">
        <v>0</v>
      </c>
      <c r="P60" t="n">
        <v>0</v>
      </c>
      <c r="Q60" t="n">
        <v>0</v>
      </c>
      <c r="R60" s="2" t="inlineStr"/>
    </row>
    <row r="61" ht="15" customHeight="1">
      <c r="A61" t="inlineStr">
        <is>
          <t>A 6882-2021</t>
        </is>
      </c>
      <c r="B61" s="1" t="n">
        <v>44237</v>
      </c>
      <c r="C61" s="1" t="n">
        <v>45363</v>
      </c>
      <c r="D61" t="inlineStr">
        <is>
          <t>NORRBOTTENS LÄN</t>
        </is>
      </c>
      <c r="E61" t="inlineStr">
        <is>
          <t>KIRUNA</t>
        </is>
      </c>
      <c r="G61" t="n">
        <v>0.7</v>
      </c>
      <c r="H61" t="n">
        <v>0</v>
      </c>
      <c r="I61" t="n">
        <v>0</v>
      </c>
      <c r="J61" t="n">
        <v>0</v>
      </c>
      <c r="K61" t="n">
        <v>0</v>
      </c>
      <c r="L61" t="n">
        <v>0</v>
      </c>
      <c r="M61" t="n">
        <v>0</v>
      </c>
      <c r="N61" t="n">
        <v>0</v>
      </c>
      <c r="O61" t="n">
        <v>0</v>
      </c>
      <c r="P61" t="n">
        <v>0</v>
      </c>
      <c r="Q61" t="n">
        <v>0</v>
      </c>
      <c r="R61" s="2" t="inlineStr"/>
    </row>
    <row r="62" ht="15" customHeight="1">
      <c r="A62" t="inlineStr">
        <is>
          <t>A 6890-2021</t>
        </is>
      </c>
      <c r="B62" s="1" t="n">
        <v>44237</v>
      </c>
      <c r="C62" s="1" t="n">
        <v>45363</v>
      </c>
      <c r="D62" t="inlineStr">
        <is>
          <t>NORRBOTTENS LÄN</t>
        </is>
      </c>
      <c r="E62" t="inlineStr">
        <is>
          <t>KIRUNA</t>
        </is>
      </c>
      <c r="G62" t="n">
        <v>3.9</v>
      </c>
      <c r="H62" t="n">
        <v>0</v>
      </c>
      <c r="I62" t="n">
        <v>0</v>
      </c>
      <c r="J62" t="n">
        <v>0</v>
      </c>
      <c r="K62" t="n">
        <v>0</v>
      </c>
      <c r="L62" t="n">
        <v>0</v>
      </c>
      <c r="M62" t="n">
        <v>0</v>
      </c>
      <c r="N62" t="n">
        <v>0</v>
      </c>
      <c r="O62" t="n">
        <v>0</v>
      </c>
      <c r="P62" t="n">
        <v>0</v>
      </c>
      <c r="Q62" t="n">
        <v>0</v>
      </c>
      <c r="R62" s="2" t="inlineStr"/>
    </row>
    <row r="63" ht="15" customHeight="1">
      <c r="A63" t="inlineStr">
        <is>
          <t>A 6878-2021</t>
        </is>
      </c>
      <c r="B63" s="1" t="n">
        <v>44237</v>
      </c>
      <c r="C63" s="1" t="n">
        <v>45363</v>
      </c>
      <c r="D63" t="inlineStr">
        <is>
          <t>NORRBOTTENS LÄN</t>
        </is>
      </c>
      <c r="E63" t="inlineStr">
        <is>
          <t>KIRUNA</t>
        </is>
      </c>
      <c r="G63" t="n">
        <v>8.199999999999999</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45363</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45363</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45363</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45363</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45363</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45363</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45363</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45363</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45363</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45363</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45363</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45363</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45363</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45363</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45363</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45363</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45363</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45363</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45363</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45363</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45363</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45363</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45363</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45363</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45363</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45363</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45363</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45363</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45363</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45363</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45363</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45363</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45363</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45363</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45363</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45363</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45363</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45363</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45363</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45363</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45363</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53309-2023</t>
        </is>
      </c>
      <c r="B105" s="1" t="n">
        <v>45229</v>
      </c>
      <c r="C105" s="1" t="n">
        <v>45363</v>
      </c>
      <c r="D105" t="inlineStr">
        <is>
          <t>NORRBOTTENS LÄN</t>
        </is>
      </c>
      <c r="E105" t="inlineStr">
        <is>
          <t>KIRUNA</t>
        </is>
      </c>
      <c r="G105" t="n">
        <v>1.6</v>
      </c>
      <c r="H105" t="n">
        <v>0</v>
      </c>
      <c r="I105" t="n">
        <v>0</v>
      </c>
      <c r="J105" t="n">
        <v>0</v>
      </c>
      <c r="K105" t="n">
        <v>0</v>
      </c>
      <c r="L105" t="n">
        <v>0</v>
      </c>
      <c r="M105" t="n">
        <v>0</v>
      </c>
      <c r="N105" t="n">
        <v>0</v>
      </c>
      <c r="O105" t="n">
        <v>0</v>
      </c>
      <c r="P105" t="n">
        <v>0</v>
      </c>
      <c r="Q105" t="n">
        <v>0</v>
      </c>
      <c r="R105" s="2" t="inlineStr"/>
    </row>
    <row r="106" ht="15" customHeight="1">
      <c r="A106" t="inlineStr">
        <is>
          <t>A 54419-2023</t>
        </is>
      </c>
      <c r="B106" s="1" t="n">
        <v>45233</v>
      </c>
      <c r="C106" s="1" t="n">
        <v>45363</v>
      </c>
      <c r="D106" t="inlineStr">
        <is>
          <t>NORRBOTTENS LÄN</t>
        </is>
      </c>
      <c r="E106" t="inlineStr">
        <is>
          <t>KIRUNA</t>
        </is>
      </c>
      <c r="G106" t="n">
        <v>11.2</v>
      </c>
      <c r="H106" t="n">
        <v>0</v>
      </c>
      <c r="I106" t="n">
        <v>0</v>
      </c>
      <c r="J106" t="n">
        <v>0</v>
      </c>
      <c r="K106" t="n">
        <v>0</v>
      </c>
      <c r="L106" t="n">
        <v>0</v>
      </c>
      <c r="M106" t="n">
        <v>0</v>
      </c>
      <c r="N106" t="n">
        <v>0</v>
      </c>
      <c r="O106" t="n">
        <v>0</v>
      </c>
      <c r="P106" t="n">
        <v>0</v>
      </c>
      <c r="Q106" t="n">
        <v>0</v>
      </c>
      <c r="R106" s="2" t="inlineStr"/>
    </row>
    <row r="107" ht="15" customHeight="1">
      <c r="A107" t="inlineStr">
        <is>
          <t>A 56168-2023</t>
        </is>
      </c>
      <c r="B107" s="1" t="n">
        <v>45236</v>
      </c>
      <c r="C107" s="1" t="n">
        <v>45363</v>
      </c>
      <c r="D107" t="inlineStr">
        <is>
          <t>NORRBOTTENS LÄN</t>
        </is>
      </c>
      <c r="E107" t="inlineStr">
        <is>
          <t>KIRUNA</t>
        </is>
      </c>
      <c r="F107" t="inlineStr">
        <is>
          <t>Sveaskog</t>
        </is>
      </c>
      <c r="G107" t="n">
        <v>6.6</v>
      </c>
      <c r="H107" t="n">
        <v>0</v>
      </c>
      <c r="I107" t="n">
        <v>0</v>
      </c>
      <c r="J107" t="n">
        <v>0</v>
      </c>
      <c r="K107" t="n">
        <v>0</v>
      </c>
      <c r="L107" t="n">
        <v>0</v>
      </c>
      <c r="M107" t="n">
        <v>0</v>
      </c>
      <c r="N107" t="n">
        <v>0</v>
      </c>
      <c r="O107" t="n">
        <v>0</v>
      </c>
      <c r="P107" t="n">
        <v>0</v>
      </c>
      <c r="Q107" t="n">
        <v>0</v>
      </c>
      <c r="R107" s="2" t="inlineStr"/>
    </row>
    <row r="108" ht="15" customHeight="1">
      <c r="A108" t="inlineStr">
        <is>
          <t>A 60064-2023</t>
        </is>
      </c>
      <c r="B108" s="1" t="n">
        <v>45258</v>
      </c>
      <c r="C108" s="1" t="n">
        <v>45363</v>
      </c>
      <c r="D108" t="inlineStr">
        <is>
          <t>NORRBOTTENS LÄN</t>
        </is>
      </c>
      <c r="E108" t="inlineStr">
        <is>
          <t>KIRUNA</t>
        </is>
      </c>
      <c r="G108" t="n">
        <v>19.8</v>
      </c>
      <c r="H108" t="n">
        <v>0</v>
      </c>
      <c r="I108" t="n">
        <v>0</v>
      </c>
      <c r="J108" t="n">
        <v>0</v>
      </c>
      <c r="K108" t="n">
        <v>0</v>
      </c>
      <c r="L108" t="n">
        <v>0</v>
      </c>
      <c r="M108" t="n">
        <v>0</v>
      </c>
      <c r="N108" t="n">
        <v>0</v>
      </c>
      <c r="O108" t="n">
        <v>0</v>
      </c>
      <c r="P108" t="n">
        <v>0</v>
      </c>
      <c r="Q108" t="n">
        <v>0</v>
      </c>
      <c r="R108" s="2" t="inlineStr"/>
    </row>
    <row r="109" ht="15" customHeight="1">
      <c r="A109" t="inlineStr">
        <is>
          <t>A 60711-2023</t>
        </is>
      </c>
      <c r="B109" s="1" t="n">
        <v>45260</v>
      </c>
      <c r="C109" s="1" t="n">
        <v>45363</v>
      </c>
      <c r="D109" t="inlineStr">
        <is>
          <t>NORRBOTTENS LÄN</t>
        </is>
      </c>
      <c r="E109" t="inlineStr">
        <is>
          <t>KIRUNA</t>
        </is>
      </c>
      <c r="G109" t="n">
        <v>5.8</v>
      </c>
      <c r="H109" t="n">
        <v>0</v>
      </c>
      <c r="I109" t="n">
        <v>0</v>
      </c>
      <c r="J109" t="n">
        <v>0</v>
      </c>
      <c r="K109" t="n">
        <v>0</v>
      </c>
      <c r="L109" t="n">
        <v>0</v>
      </c>
      <c r="M109" t="n">
        <v>0</v>
      </c>
      <c r="N109" t="n">
        <v>0</v>
      </c>
      <c r="O109" t="n">
        <v>0</v>
      </c>
      <c r="P109" t="n">
        <v>0</v>
      </c>
      <c r="Q109" t="n">
        <v>0</v>
      </c>
      <c r="R109" s="2" t="inlineStr"/>
    </row>
    <row r="110" ht="15" customHeight="1">
      <c r="A110" t="inlineStr">
        <is>
          <t>A 93-2024</t>
        </is>
      </c>
      <c r="B110" s="1" t="n">
        <v>45293</v>
      </c>
      <c r="C110" s="1" t="n">
        <v>45363</v>
      </c>
      <c r="D110" t="inlineStr">
        <is>
          <t>NORRBOTTENS LÄN</t>
        </is>
      </c>
      <c r="E110" t="inlineStr">
        <is>
          <t>KIRUNA</t>
        </is>
      </c>
      <c r="G110" t="n">
        <v>0.8</v>
      </c>
      <c r="H110" t="n">
        <v>0</v>
      </c>
      <c r="I110" t="n">
        <v>0</v>
      </c>
      <c r="J110" t="n">
        <v>0</v>
      </c>
      <c r="K110" t="n">
        <v>0</v>
      </c>
      <c r="L110" t="n">
        <v>0</v>
      </c>
      <c r="M110" t="n">
        <v>0</v>
      </c>
      <c r="N110" t="n">
        <v>0</v>
      </c>
      <c r="O110" t="n">
        <v>0</v>
      </c>
      <c r="P110" t="n">
        <v>0</v>
      </c>
      <c r="Q110" t="n">
        <v>0</v>
      </c>
      <c r="R110" s="2" t="inlineStr"/>
    </row>
    <row r="111" ht="15" customHeight="1">
      <c r="A111" t="inlineStr">
        <is>
          <t>A 4367-2024</t>
        </is>
      </c>
      <c r="B111" s="1" t="n">
        <v>45326</v>
      </c>
      <c r="C111" s="1" t="n">
        <v>45363</v>
      </c>
      <c r="D111" t="inlineStr">
        <is>
          <t>NORRBOTTENS LÄN</t>
        </is>
      </c>
      <c r="E111" t="inlineStr">
        <is>
          <t>KIRUNA</t>
        </is>
      </c>
      <c r="G111" t="n">
        <v>7.5</v>
      </c>
      <c r="H111" t="n">
        <v>0</v>
      </c>
      <c r="I111" t="n">
        <v>0</v>
      </c>
      <c r="J111" t="n">
        <v>0</v>
      </c>
      <c r="K111" t="n">
        <v>0</v>
      </c>
      <c r="L111" t="n">
        <v>0</v>
      </c>
      <c r="M111" t="n">
        <v>0</v>
      </c>
      <c r="N111" t="n">
        <v>0</v>
      </c>
      <c r="O111" t="n">
        <v>0</v>
      </c>
      <c r="P111" t="n">
        <v>0</v>
      </c>
      <c r="Q111" t="n">
        <v>0</v>
      </c>
      <c r="R111" s="2" t="inlineStr"/>
    </row>
    <row r="112" ht="15" customHeight="1">
      <c r="A112" t="inlineStr">
        <is>
          <t>A 5411-2024</t>
        </is>
      </c>
      <c r="B112" s="1" t="n">
        <v>45331</v>
      </c>
      <c r="C112" s="1" t="n">
        <v>45363</v>
      </c>
      <c r="D112" t="inlineStr">
        <is>
          <t>NORRBOTTENS LÄN</t>
        </is>
      </c>
      <c r="E112" t="inlineStr">
        <is>
          <t>KIRUNA</t>
        </is>
      </c>
      <c r="G112" t="n">
        <v>3.9</v>
      </c>
      <c r="H112" t="n">
        <v>0</v>
      </c>
      <c r="I112" t="n">
        <v>0</v>
      </c>
      <c r="J112" t="n">
        <v>0</v>
      </c>
      <c r="K112" t="n">
        <v>0</v>
      </c>
      <c r="L112" t="n">
        <v>0</v>
      </c>
      <c r="M112" t="n">
        <v>0</v>
      </c>
      <c r="N112" t="n">
        <v>0</v>
      </c>
      <c r="O112" t="n">
        <v>0</v>
      </c>
      <c r="P112" t="n">
        <v>0</v>
      </c>
      <c r="Q112" t="n">
        <v>0</v>
      </c>
      <c r="R112" s="2" t="inlineStr"/>
    </row>
    <row r="113" ht="15" customHeight="1">
      <c r="A113" t="inlineStr">
        <is>
          <t>A 5476-2024</t>
        </is>
      </c>
      <c r="B113" s="1" t="n">
        <v>45333</v>
      </c>
      <c r="C113" s="1" t="n">
        <v>45363</v>
      </c>
      <c r="D113" t="inlineStr">
        <is>
          <t>NORRBOTTENS LÄN</t>
        </is>
      </c>
      <c r="E113" t="inlineStr">
        <is>
          <t>KIRUNA</t>
        </is>
      </c>
      <c r="G113" t="n">
        <v>1.8</v>
      </c>
      <c r="H113" t="n">
        <v>0</v>
      </c>
      <c r="I113" t="n">
        <v>0</v>
      </c>
      <c r="J113" t="n">
        <v>0</v>
      </c>
      <c r="K113" t="n">
        <v>0</v>
      </c>
      <c r="L113" t="n">
        <v>0</v>
      </c>
      <c r="M113" t="n">
        <v>0</v>
      </c>
      <c r="N113" t="n">
        <v>0</v>
      </c>
      <c r="O113" t="n">
        <v>0</v>
      </c>
      <c r="P113" t="n">
        <v>0</v>
      </c>
      <c r="Q113" t="n">
        <v>0</v>
      </c>
      <c r="R113" s="2" t="inlineStr"/>
    </row>
    <row r="114" ht="15" customHeight="1">
      <c r="A114" t="inlineStr">
        <is>
          <t>A 5533-2024</t>
        </is>
      </c>
      <c r="B114" s="1" t="n">
        <v>45334</v>
      </c>
      <c r="C114" s="1" t="n">
        <v>45363</v>
      </c>
      <c r="D114" t="inlineStr">
        <is>
          <t>NORRBOTTENS LÄN</t>
        </is>
      </c>
      <c r="E114" t="inlineStr">
        <is>
          <t>KIRUNA</t>
        </is>
      </c>
      <c r="G114" t="n">
        <v>2.4</v>
      </c>
      <c r="H114" t="n">
        <v>0</v>
      </c>
      <c r="I114" t="n">
        <v>0</v>
      </c>
      <c r="J114" t="n">
        <v>0</v>
      </c>
      <c r="K114" t="n">
        <v>0</v>
      </c>
      <c r="L114" t="n">
        <v>0</v>
      </c>
      <c r="M114" t="n">
        <v>0</v>
      </c>
      <c r="N114" t="n">
        <v>0</v>
      </c>
      <c r="O114" t="n">
        <v>0</v>
      </c>
      <c r="P114" t="n">
        <v>0</v>
      </c>
      <c r="Q114" t="n">
        <v>0</v>
      </c>
      <c r="R114" s="2" t="inlineStr"/>
    </row>
    <row r="115">
      <c r="A115" t="inlineStr">
        <is>
          <t>A 9605-2024</t>
        </is>
      </c>
      <c r="B115" s="1" t="n">
        <v>45361</v>
      </c>
      <c r="C115" s="1" t="n">
        <v>45363</v>
      </c>
      <c r="D115" t="inlineStr">
        <is>
          <t>NORRBOTTENS LÄN</t>
        </is>
      </c>
      <c r="E115" t="inlineStr">
        <is>
          <t>KIRUNA</t>
        </is>
      </c>
      <c r="G115" t="n">
        <v>8.4</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2024-03-12T14:01:17Z</dcterms:created>
  <dcterms:modified xmlns:dcterms="http://purl.org/dc/terms/" xmlns:xsi="http://www.w3.org/2001/XMLSchema-instance" xsi:type="dcterms:W3CDTF">2024-03-12T14:01:17Z</dcterms:modified>
</cp:coreProperties>
</file>