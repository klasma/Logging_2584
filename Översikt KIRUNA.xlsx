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46230</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46230</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46230</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46230</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46230</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46230</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46230</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53309-2023</t>
        </is>
      </c>
      <c r="B9" t="inlineStr">
        <is>
          <t>avverkningsanmälan</t>
        </is>
      </c>
      <c r="C9" t="inlineStr">
        <is>
          <t>Avverkning för annat ändamål</t>
        </is>
      </c>
      <c r="D9" s="1" t="n">
        <v>45229</v>
      </c>
      <c r="E9" s="1" t="n">
        <v>46230</v>
      </c>
      <c r="F9" t="inlineStr">
        <is>
          <t>NORRBOTTENS LÄN</t>
        </is>
      </c>
      <c r="G9" t="inlineStr">
        <is>
          <t>KIRUNA</t>
        </is>
      </c>
      <c r="I9" t="n">
        <v>1.6</v>
      </c>
      <c r="J9" t="n">
        <v>3</v>
      </c>
      <c r="K9" t="n">
        <v>0</v>
      </c>
      <c r="L9" t="n">
        <v>0</v>
      </c>
      <c r="M9" t="n">
        <v>0</v>
      </c>
      <c r="N9" t="n">
        <v>0</v>
      </c>
      <c r="O9" t="n">
        <v>0</v>
      </c>
      <c r="P9" t="n">
        <v>0</v>
      </c>
      <c r="Q9" t="n">
        <v>0</v>
      </c>
      <c r="R9" t="n">
        <v>0</v>
      </c>
      <c r="S9" t="n">
        <v>3</v>
      </c>
      <c r="T9" t="n">
        <v>3</v>
      </c>
      <c r="U9" t="n">
        <v>3</v>
      </c>
      <c r="V9" s="2" t="inlineStr">
        <is>
          <t>Fiskgjuse
Grönsiska
Havsörn</t>
        </is>
      </c>
      <c r="W9">
        <f>HYPERLINK("https://klasma.github.io/Logging_2584/artfynd/A 53309-2023 artfynd.xlsx", "A 53309-2023")</f>
        <v/>
      </c>
      <c r="X9">
        <f>HYPERLINK("https://klasma.github.io/Logging_2584/kartor/A 53309-2023 karta.png", "A 53309-2023")</f>
        <v/>
      </c>
      <c r="Y9">
        <f>HYPERLINK("https://klasma.github.io/Logging_2584/kartor_geotiff/A 53309-2023 georefererad karta.tif", "A 53309-2023")</f>
        <v/>
      </c>
      <c r="AA9">
        <f>HYPERLINK("https://klasma.github.io/Logging_2584/klagomål/A 53309-2023 FSC-klagomål.docx", "A 53309-2023")</f>
        <v/>
      </c>
      <c r="AB9">
        <f>HYPERLINK("https://klasma.github.io/Logging_2584/klagomålsmail/A 53309-2023 FSC-klagomål mail.docx", "A 53309-2023")</f>
        <v/>
      </c>
      <c r="AC9">
        <f>HYPERLINK("https://klasma.github.io/Logging_2584/tillsyn/A 53309-2023 tillsynsbegäran.docx", "A 53309-2023")</f>
        <v/>
      </c>
      <c r="AD9">
        <f>HYPERLINK("https://klasma.github.io/Logging_2584/tillsynsmail/A 53309-2023 tillsynsbegäran mail.docx", "A 53309-2023")</f>
        <v/>
      </c>
      <c r="AE9">
        <f>HYPERLINK("https://klasma.github.io/Logging_2584/fåglar/A 53309-2023 prioriterade fågelarter.docx", "A 53309-2023")</f>
        <v/>
      </c>
    </row>
    <row r="10" ht="15" customHeight="1">
      <c r="A10" t="inlineStr">
        <is>
          <t>A 22495-2024</t>
        </is>
      </c>
      <c r="B10" t="inlineStr">
        <is>
          <t>avverkningsanmälan</t>
        </is>
      </c>
      <c r="C10" t="inlineStr">
        <is>
          <t>Föryngringsavverkning</t>
        </is>
      </c>
      <c r="D10" s="1" t="n">
        <v>45447</v>
      </c>
      <c r="E10" s="1" t="n">
        <v>46230</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46230</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64829-2023</t>
        </is>
      </c>
      <c r="B12" t="inlineStr">
        <is>
          <t>avverkningsanmälan</t>
        </is>
      </c>
      <c r="C12" t="inlineStr">
        <is>
          <t>Avverkning för annat ändamål</t>
        </is>
      </c>
      <c r="D12" s="1" t="n">
        <v>45281</v>
      </c>
      <c r="E12" s="1" t="n">
        <v>46230</v>
      </c>
      <c r="F12" t="inlineStr">
        <is>
          <t>NORRBOTTENS LÄN</t>
        </is>
      </c>
      <c r="G12" t="inlineStr">
        <is>
          <t>KIRUNA</t>
        </is>
      </c>
      <c r="I12" t="n">
        <v>31.7</v>
      </c>
      <c r="J12" t="n">
        <v>2</v>
      </c>
      <c r="K12" t="n">
        <v>0</v>
      </c>
      <c r="L12" t="n">
        <v>2</v>
      </c>
      <c r="M12" t="n">
        <v>0</v>
      </c>
      <c r="N12" t="n">
        <v>0</v>
      </c>
      <c r="O12" t="n">
        <v>0</v>
      </c>
      <c r="P12" t="n">
        <v>0</v>
      </c>
      <c r="Q12" t="n">
        <v>2</v>
      </c>
      <c r="R12" t="n">
        <v>0</v>
      </c>
      <c r="S12" t="n">
        <v>3</v>
      </c>
      <c r="T12" t="n">
        <v>3</v>
      </c>
      <c r="U12" t="n">
        <v>0</v>
      </c>
      <c r="V12" s="2" t="inlineStr">
        <is>
          <t>Höstlåsbräken
Månlåsbräken
Mattlummer</t>
        </is>
      </c>
      <c r="W12">
        <f>HYPERLINK("https://klasma.github.io/Logging_2584/artfynd/A 64829-2023 artfynd.xlsx", "A 64829-2023")</f>
        <v/>
      </c>
      <c r="X12">
        <f>HYPERLINK("https://klasma.github.io/Logging_2584/kartor/A 64829-2023 karta.png", "A 64829-2023")</f>
        <v/>
      </c>
      <c r="Y12">
        <f>HYPERLINK("https://klasma.github.io/Logging_2584/kartor_geotiff/A 64829-2023 georefererad karta.tif", "A 64829-2023")</f>
        <v/>
      </c>
      <c r="AA12">
        <f>HYPERLINK("https://klasma.github.io/Logging_2584/klagomål/A 64829-2023 FSC-klagomål.docx", "A 64829-2023")</f>
        <v/>
      </c>
      <c r="AB12">
        <f>HYPERLINK("https://klasma.github.io/Logging_2584/klagomålsmail/A 64829-2023 FSC-klagomål mail.docx", "A 64829-2023")</f>
        <v/>
      </c>
      <c r="AC12">
        <f>HYPERLINK("https://klasma.github.io/Logging_2584/tillsyn/A 64829-2023 tillsynsbegäran.docx", "A 64829-2023")</f>
        <v/>
      </c>
      <c r="AD12">
        <f>HYPERLINK("https://klasma.github.io/Logging_2584/tillsynsmail/A 64829-2023 tillsynsbegäran mail.docx", "A 64829-2023")</f>
        <v/>
      </c>
    </row>
    <row r="13" ht="15" customHeight="1">
      <c r="A13" t="inlineStr">
        <is>
          <t>A 20780-2025</t>
        </is>
      </c>
      <c r="B13" t="inlineStr">
        <is>
          <t>avverkningsanmälan</t>
        </is>
      </c>
      <c r="C13" t="inlineStr">
        <is>
          <t>Föryngringsavverkning</t>
        </is>
      </c>
      <c r="D13" s="1" t="n">
        <v>45776</v>
      </c>
      <c r="E13" s="1" t="n">
        <v>46230</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58860-2022</t>
        </is>
      </c>
      <c r="B14" t="inlineStr">
        <is>
          <t>avverkningsanmälan</t>
        </is>
      </c>
      <c r="C14" t="inlineStr">
        <is>
          <t>Avverkning för annat ändamål</t>
        </is>
      </c>
      <c r="D14" s="1" t="n">
        <v>44896</v>
      </c>
      <c r="E14" s="1" t="n">
        <v>46230</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t="n">
        <v>2</v>
      </c>
      <c r="V14" s="2" t="inlineStr">
        <is>
          <t>Brun glada
Salskrake</t>
        </is>
      </c>
      <c r="W14">
        <f>HYPERLINK("https://klasma.github.io/Logging_2584/artfynd/A 58860-2022 artfynd.xlsx", "A 58860-2022")</f>
        <v/>
      </c>
      <c r="X14">
        <f>HYPERLINK("https://klasma.github.io/Logging_2584/kartor/A 58860-2022 karta.png", "A 58860-2022")</f>
        <v/>
      </c>
      <c r="Y14">
        <f>HYPERLINK("https://klasma.github.io/Logging_2584/kartor_geotiff/A 58860-2022 georefererad karta.tif", "A 58860-2022")</f>
        <v/>
      </c>
      <c r="AA14">
        <f>HYPERLINK("https://klasma.github.io/Logging_2584/klagomål/A 58860-2022 FSC-klagomål.docx", "A 58860-2022")</f>
        <v/>
      </c>
      <c r="AB14">
        <f>HYPERLINK("https://klasma.github.io/Logging_2584/klagomålsmail/A 58860-2022 FSC-klagomål mail.docx", "A 58860-2022")</f>
        <v/>
      </c>
      <c r="AC14">
        <f>HYPERLINK("https://klasma.github.io/Logging_2584/tillsyn/A 58860-2022 tillsynsbegäran.docx", "A 58860-2022")</f>
        <v/>
      </c>
      <c r="AD14">
        <f>HYPERLINK("https://klasma.github.io/Logging_2584/tillsynsmail/A 58860-2022 tillsynsbegäran mail.docx", "A 58860-2022")</f>
        <v/>
      </c>
      <c r="AE14">
        <f>HYPERLINK("https://klasma.github.io/Logging_2584/fåglar/A 58860-2022 prioriterade fågelarter.docx", "A 58860-2022")</f>
        <v/>
      </c>
    </row>
    <row r="15" ht="15" customHeight="1">
      <c r="A15" t="inlineStr">
        <is>
          <t>A 53264-2023</t>
        </is>
      </c>
      <c r="B15" t="inlineStr">
        <is>
          <t>avverkningsanmälan</t>
        </is>
      </c>
      <c r="C15" t="inlineStr">
        <is>
          <t>Föryngringsavverkning</t>
        </is>
      </c>
      <c r="D15" s="1" t="n">
        <v>45222</v>
      </c>
      <c r="E15" s="1" t="n">
        <v>46230</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t="n">
        <v>0</v>
      </c>
      <c r="V15" s="2" t="inlineStr">
        <is>
          <t>Plattlummer
Revlummer</t>
        </is>
      </c>
      <c r="W15">
        <f>HYPERLINK("https://klasma.github.io/Logging_2584/artfynd/A 53264-2023 artfynd.xlsx", "A 53264-2023")</f>
        <v/>
      </c>
      <c r="X15">
        <f>HYPERLINK("https://klasma.github.io/Logging_2584/kartor/A 53264-2023 karta.png", "A 53264-2023")</f>
        <v/>
      </c>
      <c r="Y15">
        <f>HYPERLINK("https://klasma.github.io/Logging_2584/kartor_geotiff/A 53264-2023 georefererad karta.tif", "A 53264-2023")</f>
        <v/>
      </c>
      <c r="AA15">
        <f>HYPERLINK("https://klasma.github.io/Logging_2584/klagomål/A 53264-2023 FSC-klagomål.docx", "A 53264-2023")</f>
        <v/>
      </c>
      <c r="AB15">
        <f>HYPERLINK("https://klasma.github.io/Logging_2584/klagomålsmail/A 53264-2023 FSC-klagomål mail.docx", "A 53264-2023")</f>
        <v/>
      </c>
      <c r="AC15">
        <f>HYPERLINK("https://klasma.github.io/Logging_2584/tillsyn/A 53264-2023 tillsynsbegäran.docx", "A 53264-2023")</f>
        <v/>
      </c>
      <c r="AD15">
        <f>HYPERLINK("https://klasma.github.io/Logging_2584/tillsynsmail/A 53264-2023 tillsynsbegäran mail.docx", "A 53264-2023")</f>
        <v/>
      </c>
    </row>
    <row r="16" ht="15" customHeight="1">
      <c r="A16" t="inlineStr">
        <is>
          <t>A 53264-2023</t>
        </is>
      </c>
      <c r="B16" t="inlineStr">
        <is>
          <t>avverkningsanmälan</t>
        </is>
      </c>
      <c r="C16" t="inlineStr">
        <is>
          <t>Föryngringsavverkning</t>
        </is>
      </c>
      <c r="D16" s="1" t="n">
        <v>45222</v>
      </c>
      <c r="E16" s="1" t="n">
        <v>46230</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46230</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46230</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4367-2024</t>
        </is>
      </c>
      <c r="B19" t="inlineStr">
        <is>
          <t>avverkningsanmälan</t>
        </is>
      </c>
      <c r="C19" t="inlineStr">
        <is>
          <t>Föryngringsavverkning</t>
        </is>
      </c>
      <c r="D19" s="1" t="n">
        <v>45326</v>
      </c>
      <c r="E19" s="1" t="n">
        <v>46230</v>
      </c>
      <c r="F19" t="inlineStr">
        <is>
          <t>NORRBOTTENS LÄN</t>
        </is>
      </c>
      <c r="G19" t="inlineStr">
        <is>
          <t>KIRUNA</t>
        </is>
      </c>
      <c r="I19" t="n">
        <v>7.5</v>
      </c>
      <c r="J19" t="n">
        <v>0</v>
      </c>
      <c r="K19" t="n">
        <v>0</v>
      </c>
      <c r="L19" t="n">
        <v>1</v>
      </c>
      <c r="M19" t="n">
        <v>0</v>
      </c>
      <c r="N19" t="n">
        <v>0</v>
      </c>
      <c r="O19" t="n">
        <v>0</v>
      </c>
      <c r="P19" t="n">
        <v>0</v>
      </c>
      <c r="Q19" t="n">
        <v>1</v>
      </c>
      <c r="R19" t="n">
        <v>0</v>
      </c>
      <c r="S19" t="n">
        <v>1</v>
      </c>
      <c r="T19" t="n">
        <v>1</v>
      </c>
      <c r="U19" t="n">
        <v>1</v>
      </c>
      <c r="V19" s="2" t="inlineStr">
        <is>
          <t>Tallticka</t>
        </is>
      </c>
      <c r="W19">
        <f>HYPERLINK("https://klasma.github.io/Logging_2584/artfynd/A 4367-2024 artfynd.xlsx", "A 4367-2024")</f>
        <v/>
      </c>
      <c r="X19">
        <f>HYPERLINK("https://klasma.github.io/Logging_2584/kartor/A 4367-2024 karta.png", "A 4367-2024")</f>
        <v/>
      </c>
      <c r="Y19">
        <f>HYPERLINK("https://klasma.github.io/Logging_2584/kartor_geotiff/A 4367-2024 georefererad karta.tif", "A 4367-2024")</f>
        <v/>
      </c>
      <c r="AA19">
        <f>HYPERLINK("https://klasma.github.io/Logging_2584/klagomål/A 4367-2024 FSC-klagomål.docx", "A 4367-2024")</f>
        <v/>
      </c>
      <c r="AB19">
        <f>HYPERLINK("https://klasma.github.io/Logging_2584/klagomålsmail/A 4367-2024 FSC-klagomål mail.docx", "A 4367-2024")</f>
        <v/>
      </c>
      <c r="AC19">
        <f>HYPERLINK("https://klasma.github.io/Logging_2584/tillsyn/A 4367-2024 tillsynsbegäran.docx", "A 4367-2024")</f>
        <v/>
      </c>
      <c r="AD19">
        <f>HYPERLINK("https://klasma.github.io/Logging_2584/tillsynsmail/A 4367-2024 tillsynsbegäran mail.docx", "A 4367-2024")</f>
        <v/>
      </c>
    </row>
    <row r="20" ht="15" customHeight="1">
      <c r="A20" t="inlineStr">
        <is>
          <t>A 16024-2024</t>
        </is>
      </c>
      <c r="B20" t="inlineStr">
        <is>
          <t>avverkningsanmälan</t>
        </is>
      </c>
      <c r="C20" t="inlineStr">
        <is>
          <t>Föryngringsavverkning</t>
        </is>
      </c>
      <c r="D20" s="1" t="n">
        <v>45405</v>
      </c>
      <c r="E20" s="1" t="n">
        <v>46230</v>
      </c>
      <c r="F20" t="inlineStr">
        <is>
          <t>NORRBOTTENS LÄN</t>
        </is>
      </c>
      <c r="G20" t="inlineStr">
        <is>
          <t>KIRUNA</t>
        </is>
      </c>
      <c r="I20" t="n">
        <v>2.3</v>
      </c>
      <c r="J20" t="n">
        <v>0</v>
      </c>
      <c r="K20" t="n">
        <v>0</v>
      </c>
      <c r="L20" t="n">
        <v>1</v>
      </c>
      <c r="M20" t="n">
        <v>0</v>
      </c>
      <c r="N20" t="n">
        <v>0</v>
      </c>
      <c r="O20" t="n">
        <v>0</v>
      </c>
      <c r="P20" t="n">
        <v>0</v>
      </c>
      <c r="Q20" t="n">
        <v>1</v>
      </c>
      <c r="R20" t="n">
        <v>0</v>
      </c>
      <c r="S20" t="n">
        <v>1</v>
      </c>
      <c r="T20" t="n">
        <v>1</v>
      </c>
      <c r="U20" t="n">
        <v>1</v>
      </c>
      <c r="V20" s="2" t="inlineStr">
        <is>
          <t>Vedskivlav</t>
        </is>
      </c>
      <c r="W20">
        <f>HYPERLINK("https://klasma.github.io/Logging_2584/artfynd/A 16024-2024 artfynd.xlsx", "A 16024-2024")</f>
        <v/>
      </c>
      <c r="X20">
        <f>HYPERLINK("https://klasma.github.io/Logging_2584/kartor/A 16024-2024 karta.png", "A 16024-2024")</f>
        <v/>
      </c>
      <c r="Y20">
        <f>HYPERLINK("https://klasma.github.io/Logging_2584/kartor_geotiff/A 16024-2024 georefererad karta.tif", "A 16024-2024")</f>
        <v/>
      </c>
      <c r="AA20">
        <f>HYPERLINK("https://klasma.github.io/Logging_2584/klagomål/A 16024-2024 FSC-klagomål.docx", "A 16024-2024")</f>
        <v/>
      </c>
      <c r="AB20">
        <f>HYPERLINK("https://klasma.github.io/Logging_2584/klagomålsmail/A 16024-2024 FSC-klagomål mail.docx", "A 16024-2024")</f>
        <v/>
      </c>
      <c r="AC20">
        <f>HYPERLINK("https://klasma.github.io/Logging_2584/tillsyn/A 16024-2024 tillsynsbegäran.docx", "A 16024-2024")</f>
        <v/>
      </c>
      <c r="AD20">
        <f>HYPERLINK("https://klasma.github.io/Logging_2584/tillsynsmail/A 16024-2024 tillsynsbegäran mail.docx", "A 16024-2024")</f>
        <v/>
      </c>
    </row>
    <row r="21" ht="15" customHeight="1">
      <c r="A21" t="inlineStr">
        <is>
          <t>A 2660-2026</t>
        </is>
      </c>
      <c r="B21" t="inlineStr">
        <is>
          <t>avverkningsanmälan</t>
        </is>
      </c>
      <c r="C21" t="inlineStr">
        <is>
          <t>Föryngringsavverkning</t>
        </is>
      </c>
      <c r="D21" s="1" t="n">
        <v>46037</v>
      </c>
      <c r="E21" s="1" t="n">
        <v>46230</v>
      </c>
      <c r="F21" t="inlineStr">
        <is>
          <t>NORRBOTTENS LÄN</t>
        </is>
      </c>
      <c r="G21" t="inlineStr">
        <is>
          <t>KIRUNA</t>
        </is>
      </c>
      <c r="I21" t="n">
        <v>1.1</v>
      </c>
      <c r="J21" t="n">
        <v>0</v>
      </c>
      <c r="K21" t="n">
        <v>0</v>
      </c>
      <c r="L21" t="n">
        <v>1</v>
      </c>
      <c r="M21" t="n">
        <v>0</v>
      </c>
      <c r="N21" t="n">
        <v>0</v>
      </c>
      <c r="O21" t="n">
        <v>0</v>
      </c>
      <c r="P21" t="n">
        <v>0</v>
      </c>
      <c r="Q21" t="n">
        <v>1</v>
      </c>
      <c r="R21" t="n">
        <v>0</v>
      </c>
      <c r="S21" t="n">
        <v>1</v>
      </c>
      <c r="T21" t="n">
        <v>1</v>
      </c>
      <c r="U21" t="n">
        <v>0</v>
      </c>
      <c r="V21" s="2" t="inlineStr">
        <is>
          <t>Vaddporing</t>
        </is>
      </c>
      <c r="W21">
        <f>HYPERLINK("https://klasma.github.io/Logging_2584/artfynd/A 2660-2026 artfynd.xlsx", "A 2660-2026")</f>
        <v/>
      </c>
      <c r="X21">
        <f>HYPERLINK("https://klasma.github.io/Logging_2584/kartor/A 2660-2026 karta.png", "A 2660-2026")</f>
        <v/>
      </c>
      <c r="Y21">
        <f>HYPERLINK("https://klasma.github.io/Logging_2584/kartor_geotiff/A 2660-2026 georefererad karta.tif", "A 2660-2026")</f>
        <v/>
      </c>
      <c r="AA21">
        <f>HYPERLINK("https://klasma.github.io/Logging_2584/klagomål/A 2660-2026 FSC-klagomål.docx", "A 2660-2026")</f>
        <v/>
      </c>
      <c r="AB21">
        <f>HYPERLINK("https://klasma.github.io/Logging_2584/klagomålsmail/A 2660-2026 FSC-klagomål mail.docx", "A 2660-2026")</f>
        <v/>
      </c>
      <c r="AC21">
        <f>HYPERLINK("https://klasma.github.io/Logging_2584/tillsyn/A 2660-2026 tillsynsbegäran.docx", "A 2660-2026")</f>
        <v/>
      </c>
      <c r="AD21">
        <f>HYPERLINK("https://klasma.github.io/Logging_2584/tillsynsmail/A 2660-2026 tillsynsbegäran mail.docx", "A 2660-2026")</f>
        <v/>
      </c>
    </row>
    <row r="22" ht="15" customHeight="1">
      <c r="A22" t="inlineStr">
        <is>
          <t>A 5842-2023</t>
        </is>
      </c>
      <c r="B22" t="inlineStr">
        <is>
          <t>avverkningsanmälan</t>
        </is>
      </c>
      <c r="C22" t="inlineStr">
        <is>
          <t>Avverkning för annat ändamål</t>
        </is>
      </c>
      <c r="D22" s="1" t="n">
        <v>44958</v>
      </c>
      <c r="E22" s="1" t="n">
        <v>46230</v>
      </c>
      <c r="F22" t="inlineStr">
        <is>
          <t>NORRBOTTENS LÄN</t>
        </is>
      </c>
      <c r="G22" t="inlineStr">
        <is>
          <t>KIRUNA</t>
        </is>
      </c>
      <c r="I22" t="n">
        <v>2.9</v>
      </c>
      <c r="J22" t="n">
        <v>0</v>
      </c>
      <c r="K22" t="n">
        <v>0</v>
      </c>
      <c r="L22" t="n">
        <v>0</v>
      </c>
      <c r="M22" t="n">
        <v>1</v>
      </c>
      <c r="N22" t="n">
        <v>0</v>
      </c>
      <c r="O22" t="n">
        <v>0</v>
      </c>
      <c r="P22" t="n">
        <v>0</v>
      </c>
      <c r="Q22" t="n">
        <v>1</v>
      </c>
      <c r="R22" t="n">
        <v>1</v>
      </c>
      <c r="S22" t="n">
        <v>1</v>
      </c>
      <c r="T22" t="n">
        <v>1</v>
      </c>
      <c r="U22" t="n">
        <v>0</v>
      </c>
      <c r="V22" s="2" t="inlineStr">
        <is>
          <t>Fjällsotlav</t>
        </is>
      </c>
      <c r="W22">
        <f>HYPERLINK("https://klasma.github.io/Logging_2584/artfynd/A 5842-2023 artfynd.xlsx", "A 5842-2023")</f>
        <v/>
      </c>
      <c r="X22">
        <f>HYPERLINK("https://klasma.github.io/Logging_2584/kartor/A 5842-2023 karta.png", "A 5842-2023")</f>
        <v/>
      </c>
      <c r="Y22">
        <f>HYPERLINK("https://klasma.github.io/Logging_2584/kartor_geotiff/A 5842-2023 georefererad karta.tif", "A 5842-2023")</f>
        <v/>
      </c>
      <c r="AA22">
        <f>HYPERLINK("https://klasma.github.io/Logging_2584/klagomål/A 5842-2023 FSC-klagomål.docx", "A 5842-2023")</f>
        <v/>
      </c>
      <c r="AB22">
        <f>HYPERLINK("https://klasma.github.io/Logging_2584/klagomålsmail/A 5842-2023 FSC-klagomål mail.docx", "A 5842-2023")</f>
        <v/>
      </c>
      <c r="AC22">
        <f>HYPERLINK("https://klasma.github.io/Logging_2584/tillsyn/A 5842-2023 tillsynsbegäran.docx", "A 5842-2023")</f>
        <v/>
      </c>
      <c r="AD22">
        <f>HYPERLINK("https://klasma.github.io/Logging_2584/tillsynsmail/A 5842-2023 tillsynsbegäran mail.docx", "A 5842-2023")</f>
        <v/>
      </c>
    </row>
    <row r="23" ht="15" customHeight="1">
      <c r="A23" t="inlineStr">
        <is>
          <t>A 61066-2024</t>
        </is>
      </c>
      <c r="B23" t="inlineStr">
        <is>
          <t>avverkningsanmälan</t>
        </is>
      </c>
      <c r="C23" t="inlineStr">
        <is>
          <t>Föryngringsavverkning</t>
        </is>
      </c>
      <c r="D23" s="1" t="n">
        <v>45645</v>
      </c>
      <c r="E23" s="1" t="n">
        <v>46230</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46230</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46230</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46230</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46230</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46230</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39247-2023</t>
        </is>
      </c>
      <c r="B29" t="inlineStr">
        <is>
          <t>avverkningsanmälan</t>
        </is>
      </c>
      <c r="C29" t="inlineStr">
        <is>
          <t>Föryngringsavverkning</t>
        </is>
      </c>
      <c r="D29" s="1" t="n">
        <v>45162</v>
      </c>
      <c r="E29" s="1" t="n">
        <v>46230</v>
      </c>
      <c r="F29" t="inlineStr">
        <is>
          <t>NORRBOTTENS LÄN</t>
        </is>
      </c>
      <c r="G29" t="inlineStr">
        <is>
          <t>KIRUNA</t>
        </is>
      </c>
      <c r="I29" t="n">
        <v>11.7</v>
      </c>
      <c r="J29" t="n">
        <v>0</v>
      </c>
      <c r="K29" t="n">
        <v>0</v>
      </c>
      <c r="L29" t="n">
        <v>0</v>
      </c>
      <c r="M29" t="n">
        <v>0</v>
      </c>
      <c r="N29" t="n">
        <v>0</v>
      </c>
      <c r="O29" t="n">
        <v>0</v>
      </c>
      <c r="P29" t="n">
        <v>0</v>
      </c>
      <c r="Q29" t="n">
        <v>0</v>
      </c>
      <c r="R29" t="n">
        <v>0</v>
      </c>
      <c r="S29" t="n">
        <v>0</v>
      </c>
      <c r="T29" t="n">
        <v>0</v>
      </c>
      <c r="U29" t="n">
        <v>0</v>
      </c>
      <c r="V29" s="2" t="inlineStr"/>
    </row>
    <row r="30" ht="15" customHeight="1">
      <c r="A30" t="inlineStr">
        <is>
          <t>A 62460-2022</t>
        </is>
      </c>
      <c r="B30" t="inlineStr">
        <is>
          <t>avverkningsanmälan</t>
        </is>
      </c>
      <c r="C30" t="inlineStr">
        <is>
          <t>Föryngringsavverkning</t>
        </is>
      </c>
      <c r="D30" s="1" t="n">
        <v>44916</v>
      </c>
      <c r="E30" s="1" t="n">
        <v>46230</v>
      </c>
      <c r="F30" t="inlineStr">
        <is>
          <t>NORRBOTTENS LÄN</t>
        </is>
      </c>
      <c r="G30" t="inlineStr">
        <is>
          <t>KIRUNA</t>
        </is>
      </c>
      <c r="I30" t="n">
        <v>13.4</v>
      </c>
      <c r="J30" t="n">
        <v>0</v>
      </c>
      <c r="K30" t="n">
        <v>0</v>
      </c>
      <c r="L30" t="n">
        <v>0</v>
      </c>
      <c r="M30" t="n">
        <v>0</v>
      </c>
      <c r="N30" t="n">
        <v>0</v>
      </c>
      <c r="O30" t="n">
        <v>0</v>
      </c>
      <c r="P30" t="n">
        <v>0</v>
      </c>
      <c r="Q30" t="n">
        <v>0</v>
      </c>
      <c r="R30" t="n">
        <v>0</v>
      </c>
      <c r="S30" t="n">
        <v>0</v>
      </c>
      <c r="T30" t="n">
        <v>0</v>
      </c>
      <c r="U30" t="n">
        <v>0</v>
      </c>
      <c r="V30" s="2" t="inlineStr"/>
    </row>
    <row r="31" ht="15" customHeight="1">
      <c r="A31" t="inlineStr">
        <is>
          <t>A 36939-2022</t>
        </is>
      </c>
      <c r="B31" t="inlineStr">
        <is>
          <t>avverkningsanmälan</t>
        </is>
      </c>
      <c r="C31" t="inlineStr">
        <is>
          <t>Avverkning för annat ändamål</t>
        </is>
      </c>
      <c r="D31" s="1" t="n">
        <v>44805</v>
      </c>
      <c r="E31" s="1" t="n">
        <v>46230</v>
      </c>
      <c r="F31" t="inlineStr">
        <is>
          <t>NORRBOTTENS LÄN</t>
        </is>
      </c>
      <c r="G31" t="inlineStr">
        <is>
          <t>KIRUNA</t>
        </is>
      </c>
      <c r="I31" t="n">
        <v>3.1</v>
      </c>
      <c r="J31" t="n">
        <v>0</v>
      </c>
      <c r="K31" t="n">
        <v>0</v>
      </c>
      <c r="L31" t="n">
        <v>0</v>
      </c>
      <c r="M31" t="n">
        <v>0</v>
      </c>
      <c r="N31" t="n">
        <v>0</v>
      </c>
      <c r="O31" t="n">
        <v>0</v>
      </c>
      <c r="P31" t="n">
        <v>0</v>
      </c>
      <c r="Q31" t="n">
        <v>0</v>
      </c>
      <c r="R31" t="n">
        <v>0</v>
      </c>
      <c r="S31" t="n">
        <v>0</v>
      </c>
      <c r="T31" t="n">
        <v>0</v>
      </c>
      <c r="U31" t="n">
        <v>0</v>
      </c>
      <c r="V31" s="2" t="inlineStr"/>
    </row>
    <row r="32" ht="15" customHeight="1">
      <c r="A32" t="inlineStr">
        <is>
          <t>A 5533-2024</t>
        </is>
      </c>
      <c r="B32" t="inlineStr">
        <is>
          <t>avverkningsanmälan</t>
        </is>
      </c>
      <c r="C32" t="inlineStr">
        <is>
          <t>Avverkning för annat ändamål</t>
        </is>
      </c>
      <c r="D32" s="1" t="n">
        <v>45334</v>
      </c>
      <c r="E32" s="1" t="n">
        <v>46230</v>
      </c>
      <c r="F32" t="inlineStr">
        <is>
          <t>NORRBOTTENS LÄN</t>
        </is>
      </c>
      <c r="G32" t="inlineStr">
        <is>
          <t>KIRUNA</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9605-2024</t>
        </is>
      </c>
      <c r="B33" t="inlineStr">
        <is>
          <t>avverkningsanmälan</t>
        </is>
      </c>
      <c r="C33" t="inlineStr">
        <is>
          <t>Föryngringsavverkning</t>
        </is>
      </c>
      <c r="D33" s="1" t="n">
        <v>45361</v>
      </c>
      <c r="E33" s="1" t="n">
        <v>46230</v>
      </c>
      <c r="F33" t="inlineStr">
        <is>
          <t>NORRBOTTENS LÄN</t>
        </is>
      </c>
      <c r="G33" t="inlineStr">
        <is>
          <t>KIRUNA</t>
        </is>
      </c>
      <c r="I33" t="n">
        <v>8.4</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46230</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28707-2022</t>
        </is>
      </c>
      <c r="B35" t="inlineStr">
        <is>
          <t>avverkningsanmälan</t>
        </is>
      </c>
      <c r="C35" t="inlineStr">
        <is>
          <t>Föryngringsavverkning</t>
        </is>
      </c>
      <c r="D35" s="1" t="n">
        <v>44748</v>
      </c>
      <c r="E35" s="1" t="n">
        <v>46230</v>
      </c>
      <c r="F35" t="inlineStr">
        <is>
          <t>NORRBOTTENS LÄN</t>
        </is>
      </c>
      <c r="G35" t="inlineStr">
        <is>
          <t>KIRUNA</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9068-2023</t>
        </is>
      </c>
      <c r="B36" t="inlineStr">
        <is>
          <t>avverkningsanmälan</t>
        </is>
      </c>
      <c r="C36" t="inlineStr">
        <is>
          <t>Föryngringsavverkning</t>
        </is>
      </c>
      <c r="D36" s="1" t="n">
        <v>44979</v>
      </c>
      <c r="E36" s="1" t="n">
        <v>46230</v>
      </c>
      <c r="F36" t="inlineStr">
        <is>
          <t>NORRBOTTENS LÄN</t>
        </is>
      </c>
      <c r="G36" t="inlineStr">
        <is>
          <t>KIRUNA</t>
        </is>
      </c>
      <c r="H36" t="inlineStr">
        <is>
          <t>SCA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93-2024</t>
        </is>
      </c>
      <c r="B37" t="inlineStr">
        <is>
          <t>avverkningsanmälan</t>
        </is>
      </c>
      <c r="C37" t="inlineStr">
        <is>
          <t>Avverkning för annat ändamål</t>
        </is>
      </c>
      <c r="D37" s="1" t="n">
        <v>45293</v>
      </c>
      <c r="E37" s="1" t="n">
        <v>46230</v>
      </c>
      <c r="F37" t="inlineStr">
        <is>
          <t>NORRBOTTENS LÄN</t>
        </is>
      </c>
      <c r="G37" t="inlineStr">
        <is>
          <t>KIRUNA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39271-2023</t>
        </is>
      </c>
      <c r="B38" t="inlineStr">
        <is>
          <t>avverkningsanmälan</t>
        </is>
      </c>
      <c r="C38" t="inlineStr">
        <is>
          <t>Föryngringsavverkning</t>
        </is>
      </c>
      <c r="D38" s="1" t="n">
        <v>45162</v>
      </c>
      <c r="E38" s="1" t="n">
        <v>46230</v>
      </c>
      <c r="F38" t="inlineStr">
        <is>
          <t>NORRBOTTENS LÄN</t>
        </is>
      </c>
      <c r="G38" t="inlineStr">
        <is>
          <t>KIRUNA</t>
        </is>
      </c>
      <c r="I38" t="n">
        <v>51.9</v>
      </c>
      <c r="J38" t="n">
        <v>0</v>
      </c>
      <c r="K38" t="n">
        <v>0</v>
      </c>
      <c r="L38" t="n">
        <v>0</v>
      </c>
      <c r="M38" t="n">
        <v>0</v>
      </c>
      <c r="N38" t="n">
        <v>0</v>
      </c>
      <c r="O38" t="n">
        <v>0</v>
      </c>
      <c r="P38" t="n">
        <v>0</v>
      </c>
      <c r="Q38" t="n">
        <v>0</v>
      </c>
      <c r="R38" t="n">
        <v>0</v>
      </c>
      <c r="S38" t="n">
        <v>0</v>
      </c>
      <c r="T38" t="n">
        <v>0</v>
      </c>
      <c r="U38" t="n">
        <v>0</v>
      </c>
      <c r="V38" s="2" t="inlineStr"/>
    </row>
    <row r="39" ht="15" customHeight="1">
      <c r="A39" t="inlineStr">
        <is>
          <t>A 50338-2025</t>
        </is>
      </c>
      <c r="B39" t="inlineStr">
        <is>
          <t>avverkningsanmälan</t>
        </is>
      </c>
      <c r="C39" t="inlineStr">
        <is>
          <t>Föryngringsavverkning</t>
        </is>
      </c>
      <c r="D39" s="1" t="n">
        <v>45944</v>
      </c>
      <c r="E39" s="1" t="n">
        <v>46230</v>
      </c>
      <c r="F39" t="inlineStr">
        <is>
          <t>NORRBOTTENS LÄN</t>
        </is>
      </c>
      <c r="G39" t="inlineStr">
        <is>
          <t>KIRUNA</t>
        </is>
      </c>
      <c r="H39" t="inlineStr">
        <is>
          <t>SCA</t>
        </is>
      </c>
      <c r="I39" t="n">
        <v>22.6</v>
      </c>
      <c r="J39" t="n">
        <v>0</v>
      </c>
      <c r="K39" t="n">
        <v>0</v>
      </c>
      <c r="L39" t="n">
        <v>0</v>
      </c>
      <c r="M39" t="n">
        <v>0</v>
      </c>
      <c r="N39" t="n">
        <v>0</v>
      </c>
      <c r="O39" t="n">
        <v>0</v>
      </c>
      <c r="P39" t="n">
        <v>0</v>
      </c>
      <c r="Q39" t="n">
        <v>0</v>
      </c>
      <c r="R39" t="n">
        <v>0</v>
      </c>
      <c r="S39" t="n">
        <v>0</v>
      </c>
      <c r="T39" t="n">
        <v>0</v>
      </c>
      <c r="U39" t="n">
        <v>0</v>
      </c>
      <c r="V39" s="2" t="inlineStr"/>
    </row>
    <row r="40" ht="15" customHeight="1">
      <c r="A40" t="inlineStr">
        <is>
          <t>A 56168-2023</t>
        </is>
      </c>
      <c r="B40" t="inlineStr">
        <is>
          <t>avverkningsanmälan</t>
        </is>
      </c>
      <c r="C40" t="inlineStr">
        <is>
          <t>Avverkning för annat ändamål</t>
        </is>
      </c>
      <c r="D40" s="1" t="n">
        <v>45236</v>
      </c>
      <c r="E40" s="1" t="n">
        <v>46230</v>
      </c>
      <c r="F40" t="inlineStr">
        <is>
          <t>NORRBOTTENS LÄN</t>
        </is>
      </c>
      <c r="G40" t="inlineStr">
        <is>
          <t>KIRUNA</t>
        </is>
      </c>
      <c r="H40" t="inlineStr">
        <is>
          <t>Sveaskog</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22494-2024</t>
        </is>
      </c>
      <c r="B41" t="inlineStr">
        <is>
          <t>avverkningsanmälan</t>
        </is>
      </c>
      <c r="C41" t="inlineStr">
        <is>
          <t>Föryngringsavverkning</t>
        </is>
      </c>
      <c r="D41" s="1" t="n">
        <v>45447</v>
      </c>
      <c r="E41" s="1" t="n">
        <v>46230</v>
      </c>
      <c r="F41" t="inlineStr">
        <is>
          <t>NORRBOTTENS LÄN</t>
        </is>
      </c>
      <c r="G41" t="inlineStr">
        <is>
          <t>KIRUNA</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20893-2025</t>
        </is>
      </c>
      <c r="B42" t="inlineStr">
        <is>
          <t>avverkningsanmälan</t>
        </is>
      </c>
      <c r="C42" t="inlineStr">
        <is>
          <t>Föryngringsavverkning</t>
        </is>
      </c>
      <c r="D42" s="1" t="n">
        <v>45776</v>
      </c>
      <c r="E42" s="1" t="n">
        <v>46230</v>
      </c>
      <c r="F42" t="inlineStr">
        <is>
          <t>NORRBOTTENS LÄN</t>
        </is>
      </c>
      <c r="G42" t="inlineStr">
        <is>
          <t>KIRUNA</t>
        </is>
      </c>
      <c r="I42" t="n">
        <v>27.3</v>
      </c>
      <c r="J42" t="n">
        <v>0</v>
      </c>
      <c r="K42" t="n">
        <v>0</v>
      </c>
      <c r="L42" t="n">
        <v>0</v>
      </c>
      <c r="M42" t="n">
        <v>0</v>
      </c>
      <c r="N42" t="n">
        <v>0</v>
      </c>
      <c r="O42" t="n">
        <v>0</v>
      </c>
      <c r="P42" t="n">
        <v>0</v>
      </c>
      <c r="Q42" t="n">
        <v>0</v>
      </c>
      <c r="R42" t="n">
        <v>0</v>
      </c>
      <c r="S42" t="n">
        <v>0</v>
      </c>
      <c r="T42" t="n">
        <v>0</v>
      </c>
      <c r="U42" t="n">
        <v>0</v>
      </c>
      <c r="V42" s="2" t="inlineStr"/>
    </row>
    <row r="43" ht="15" customHeight="1">
      <c r="A43" t="inlineStr">
        <is>
          <t>A 21184-2025</t>
        </is>
      </c>
      <c r="B43" t="inlineStr">
        <is>
          <t>avverkningsanmälan</t>
        </is>
      </c>
      <c r="C43" t="inlineStr">
        <is>
          <t>Föryngringsavverkning</t>
        </is>
      </c>
      <c r="D43" s="1" t="n">
        <v>45777</v>
      </c>
      <c r="E43" s="1" t="n">
        <v>46230</v>
      </c>
      <c r="F43" t="inlineStr">
        <is>
          <t>NORRBOTTENS LÄN</t>
        </is>
      </c>
      <c r="G43" t="inlineStr">
        <is>
          <t>KIRUNA</t>
        </is>
      </c>
      <c r="I43" t="n">
        <v>20.1</v>
      </c>
      <c r="J43" t="n">
        <v>0</v>
      </c>
      <c r="K43" t="n">
        <v>0</v>
      </c>
      <c r="L43" t="n">
        <v>0</v>
      </c>
      <c r="M43" t="n">
        <v>0</v>
      </c>
      <c r="N43" t="n">
        <v>0</v>
      </c>
      <c r="O43" t="n">
        <v>0</v>
      </c>
      <c r="P43" t="n">
        <v>0</v>
      </c>
      <c r="Q43" t="n">
        <v>0</v>
      </c>
      <c r="R43" t="n">
        <v>0</v>
      </c>
      <c r="S43" t="n">
        <v>0</v>
      </c>
      <c r="T43" t="n">
        <v>0</v>
      </c>
      <c r="U43" t="n">
        <v>0</v>
      </c>
      <c r="V43" s="2" t="inlineStr"/>
    </row>
    <row r="44" ht="15" customHeight="1">
      <c r="A44" t="inlineStr">
        <is>
          <t>A 28533-2026</t>
        </is>
      </c>
      <c r="B44" t="inlineStr">
        <is>
          <t>avverkningsanmälan</t>
        </is>
      </c>
      <c r="C44" t="inlineStr">
        <is>
          <t>Föryngringsavverkning</t>
        </is>
      </c>
      <c r="D44" s="1" t="n">
        <v>46197</v>
      </c>
      <c r="E44" s="1" t="n">
        <v>46230</v>
      </c>
      <c r="F44" t="inlineStr">
        <is>
          <t>NORRBOTTENS LÄN</t>
        </is>
      </c>
      <c r="G44" t="inlineStr">
        <is>
          <t>KIRUNA</t>
        </is>
      </c>
      <c r="I44" t="n">
        <v>54.2</v>
      </c>
      <c r="J44" t="n">
        <v>0</v>
      </c>
      <c r="K44" t="n">
        <v>0</v>
      </c>
      <c r="L44" t="n">
        <v>0</v>
      </c>
      <c r="M44" t="n">
        <v>0</v>
      </c>
      <c r="N44" t="n">
        <v>0</v>
      </c>
      <c r="O44" t="n">
        <v>0</v>
      </c>
      <c r="P44" t="n">
        <v>0</v>
      </c>
      <c r="Q44" t="n">
        <v>0</v>
      </c>
      <c r="R44" t="n">
        <v>0</v>
      </c>
      <c r="S44" t="n">
        <v>0</v>
      </c>
      <c r="T44" t="n">
        <v>0</v>
      </c>
      <c r="U44" t="n">
        <v>0</v>
      </c>
      <c r="V44" s="2" t="inlineStr"/>
    </row>
    <row r="45" ht="15" customHeight="1">
      <c r="A45" t="inlineStr">
        <is>
          <t>A 47730-2024</t>
        </is>
      </c>
      <c r="B45" t="inlineStr">
        <is>
          <t>avverkningsanmälan</t>
        </is>
      </c>
      <c r="C45" t="inlineStr">
        <is>
          <t>Föryngringsavverkning</t>
        </is>
      </c>
      <c r="D45" s="1" t="n">
        <v>45588</v>
      </c>
      <c r="E45" s="1" t="n">
        <v>46230</v>
      </c>
      <c r="F45" t="inlineStr">
        <is>
          <t>NORRBOTTENS LÄN</t>
        </is>
      </c>
      <c r="G45" t="inlineStr">
        <is>
          <t>KIRUNA</t>
        </is>
      </c>
      <c r="H45" t="inlineStr">
        <is>
          <t>Allmännings- och besparingsskogar</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49704-2024</t>
        </is>
      </c>
      <c r="B46" t="inlineStr">
        <is>
          <t>avverkningsanmälan</t>
        </is>
      </c>
      <c r="C46" t="inlineStr">
        <is>
          <t>Föryngringsavverkning</t>
        </is>
      </c>
      <c r="D46" s="1" t="n">
        <v>45596</v>
      </c>
      <c r="E46" s="1" t="n">
        <v>46230</v>
      </c>
      <c r="F46" t="inlineStr">
        <is>
          <t>NORRBOTTENS LÄN</t>
        </is>
      </c>
      <c r="G46" t="inlineStr">
        <is>
          <t>KIRUNA</t>
        </is>
      </c>
      <c r="I46" t="n">
        <v>17.4</v>
      </c>
      <c r="J46" t="n">
        <v>0</v>
      </c>
      <c r="K46" t="n">
        <v>0</v>
      </c>
      <c r="L46" t="n">
        <v>0</v>
      </c>
      <c r="M46" t="n">
        <v>0</v>
      </c>
      <c r="N46" t="n">
        <v>0</v>
      </c>
      <c r="O46" t="n">
        <v>0</v>
      </c>
      <c r="P46" t="n">
        <v>0</v>
      </c>
      <c r="Q46" t="n">
        <v>0</v>
      </c>
      <c r="R46" t="n">
        <v>0</v>
      </c>
      <c r="S46" t="n">
        <v>0</v>
      </c>
      <c r="T46" t="n">
        <v>0</v>
      </c>
      <c r="U46" t="n">
        <v>0</v>
      </c>
      <c r="V46" s="2" t="inlineStr"/>
    </row>
    <row r="47" ht="15" customHeight="1">
      <c r="A47" t="inlineStr">
        <is>
          <t>A 22491-2024</t>
        </is>
      </c>
      <c r="B47" t="inlineStr">
        <is>
          <t>avverkningsanmälan</t>
        </is>
      </c>
      <c r="C47" t="inlineStr">
        <is>
          <t>Föryngringsavverkning</t>
        </is>
      </c>
      <c r="D47" s="1" t="n">
        <v>45447</v>
      </c>
      <c r="E47" s="1" t="n">
        <v>46230</v>
      </c>
      <c r="F47" t="inlineStr">
        <is>
          <t>NORRBOTTENS LÄN</t>
        </is>
      </c>
      <c r="G47" t="inlineStr">
        <is>
          <t>KIRUNA</t>
        </is>
      </c>
      <c r="I47" t="n">
        <v>9</v>
      </c>
      <c r="J47" t="n">
        <v>0</v>
      </c>
      <c r="K47" t="n">
        <v>0</v>
      </c>
      <c r="L47" t="n">
        <v>0</v>
      </c>
      <c r="M47" t="n">
        <v>0</v>
      </c>
      <c r="N47" t="n">
        <v>0</v>
      </c>
      <c r="O47" t="n">
        <v>0</v>
      </c>
      <c r="P47" t="n">
        <v>0</v>
      </c>
      <c r="Q47" t="n">
        <v>0</v>
      </c>
      <c r="R47" t="n">
        <v>0</v>
      </c>
      <c r="S47" t="n">
        <v>0</v>
      </c>
      <c r="T47" t="n">
        <v>0</v>
      </c>
      <c r="U47" t="n">
        <v>0</v>
      </c>
      <c r="V47" s="2" t="inlineStr"/>
    </row>
    <row r="48" ht="15" customHeight="1">
      <c r="A48" t="inlineStr">
        <is>
          <t>A 21268-2026</t>
        </is>
      </c>
      <c r="B48" t="inlineStr">
        <is>
          <t>avverkningsanmälan</t>
        </is>
      </c>
      <c r="C48" t="inlineStr">
        <is>
          <t>Föryngringsavverkning</t>
        </is>
      </c>
      <c r="D48" s="1" t="n">
        <v>46147</v>
      </c>
      <c r="E48" s="1" t="n">
        <v>46230</v>
      </c>
      <c r="F48" t="inlineStr">
        <is>
          <t>NORRBOTTENS LÄN</t>
        </is>
      </c>
      <c r="G48" t="inlineStr">
        <is>
          <t>KIRUNA</t>
        </is>
      </c>
      <c r="I48" t="n">
        <v>35.7</v>
      </c>
      <c r="J48" t="n">
        <v>0</v>
      </c>
      <c r="K48" t="n">
        <v>0</v>
      </c>
      <c r="L48" t="n">
        <v>0</v>
      </c>
      <c r="M48" t="n">
        <v>0</v>
      </c>
      <c r="N48" t="n">
        <v>0</v>
      </c>
      <c r="O48" t="n">
        <v>0</v>
      </c>
      <c r="P48" t="n">
        <v>0</v>
      </c>
      <c r="Q48" t="n">
        <v>0</v>
      </c>
      <c r="R48" t="n">
        <v>0</v>
      </c>
      <c r="S48" t="n">
        <v>0</v>
      </c>
      <c r="T48" t="n">
        <v>0</v>
      </c>
      <c r="U48" t="n">
        <v>0</v>
      </c>
      <c r="V48" s="2" t="inlineStr"/>
    </row>
    <row r="49" ht="15" customHeight="1">
      <c r="A49" t="inlineStr">
        <is>
          <t>A 148-2026</t>
        </is>
      </c>
      <c r="B49" t="inlineStr">
        <is>
          <t>avverkningsanmälan</t>
        </is>
      </c>
      <c r="C49" t="inlineStr">
        <is>
          <t>Föryngringsavverkning</t>
        </is>
      </c>
      <c r="D49" s="1" t="n">
        <v>46024</v>
      </c>
      <c r="E49" s="1" t="n">
        <v>46230</v>
      </c>
      <c r="F49" t="inlineStr">
        <is>
          <t>NORRBOTTENS LÄN</t>
        </is>
      </c>
      <c r="G49" t="inlineStr">
        <is>
          <t>KIRUNA</t>
        </is>
      </c>
      <c r="I49" t="n">
        <v>10.2</v>
      </c>
      <c r="J49" t="n">
        <v>0</v>
      </c>
      <c r="K49" t="n">
        <v>0</v>
      </c>
      <c r="L49" t="n">
        <v>0</v>
      </c>
      <c r="M49" t="n">
        <v>0</v>
      </c>
      <c r="N49" t="n">
        <v>0</v>
      </c>
      <c r="O49" t="n">
        <v>0</v>
      </c>
      <c r="P49" t="n">
        <v>0</v>
      </c>
      <c r="Q49" t="n">
        <v>0</v>
      </c>
      <c r="R49" t="n">
        <v>0</v>
      </c>
      <c r="S49" t="n">
        <v>0</v>
      </c>
      <c r="T49" t="n">
        <v>0</v>
      </c>
      <c r="U49" t="n">
        <v>0</v>
      </c>
      <c r="V49" s="2" t="inlineStr"/>
    </row>
    <row r="50" ht="15" customHeight="1">
      <c r="A50" t="inlineStr">
        <is>
          <t>A 29048-2026</t>
        </is>
      </c>
      <c r="B50" t="inlineStr">
        <is>
          <t>avverkningsanmälan</t>
        </is>
      </c>
      <c r="C50" t="inlineStr">
        <is>
          <t>Föryngringsavverkning</t>
        </is>
      </c>
      <c r="D50" s="1" t="n">
        <v>46199</v>
      </c>
      <c r="E50" s="1" t="n">
        <v>46230</v>
      </c>
      <c r="F50" t="inlineStr">
        <is>
          <t>NORRBOTTENS LÄN</t>
        </is>
      </c>
      <c r="G50" t="inlineStr">
        <is>
          <t>KIRUNA</t>
        </is>
      </c>
      <c r="I50" t="n">
        <v>16.9</v>
      </c>
      <c r="J50" t="n">
        <v>0</v>
      </c>
      <c r="K50" t="n">
        <v>0</v>
      </c>
      <c r="L50" t="n">
        <v>0</v>
      </c>
      <c r="M50" t="n">
        <v>0</v>
      </c>
      <c r="N50" t="n">
        <v>0</v>
      </c>
      <c r="O50" t="n">
        <v>0</v>
      </c>
      <c r="P50" t="n">
        <v>0</v>
      </c>
      <c r="Q50" t="n">
        <v>0</v>
      </c>
      <c r="R50" t="n">
        <v>0</v>
      </c>
      <c r="S50" t="n">
        <v>0</v>
      </c>
      <c r="T50" t="n">
        <v>0</v>
      </c>
      <c r="U50" t="n">
        <v>0</v>
      </c>
      <c r="V50" s="2" t="inlineStr"/>
    </row>
    <row r="51" ht="15" customHeight="1">
      <c r="A51" t="inlineStr">
        <is>
          <t>A 29167-2026</t>
        </is>
      </c>
      <c r="B51" t="inlineStr">
        <is>
          <t>avverkningsanmälan</t>
        </is>
      </c>
      <c r="C51" t="inlineStr">
        <is>
          <t>Föryngringsavverkning</t>
        </is>
      </c>
      <c r="D51" s="1" t="n">
        <v>46202</v>
      </c>
      <c r="E51" s="1" t="n">
        <v>46230</v>
      </c>
      <c r="F51" t="inlineStr">
        <is>
          <t>NORRBOTTENS LÄN</t>
        </is>
      </c>
      <c r="G51" t="inlineStr">
        <is>
          <t>KIRUNA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20578-2025</t>
        </is>
      </c>
      <c r="B52" t="inlineStr">
        <is>
          <t>avverkningsanmälan</t>
        </is>
      </c>
      <c r="C52" t="inlineStr">
        <is>
          <t>Föryngringsavverkning</t>
        </is>
      </c>
      <c r="D52" s="1" t="n">
        <v>45775</v>
      </c>
      <c r="E52" s="1" t="n">
        <v>46230</v>
      </c>
      <c r="F52" t="inlineStr">
        <is>
          <t>NORRBOTTENS LÄN</t>
        </is>
      </c>
      <c r="G52" t="inlineStr">
        <is>
          <t>KIRUNA</t>
        </is>
      </c>
      <c r="H52" t="inlineStr">
        <is>
          <t>Sveaskog</t>
        </is>
      </c>
      <c r="I52" t="n">
        <v>12.5</v>
      </c>
      <c r="J52" t="n">
        <v>0</v>
      </c>
      <c r="K52" t="n">
        <v>0</v>
      </c>
      <c r="L52" t="n">
        <v>0</v>
      </c>
      <c r="M52" t="n">
        <v>0</v>
      </c>
      <c r="N52" t="n">
        <v>0</v>
      </c>
      <c r="O52" t="n">
        <v>0</v>
      </c>
      <c r="P52" t="n">
        <v>0</v>
      </c>
      <c r="Q52" t="n">
        <v>0</v>
      </c>
      <c r="R52" t="n">
        <v>0</v>
      </c>
      <c r="S52" t="n">
        <v>0</v>
      </c>
      <c r="T52" t="n">
        <v>0</v>
      </c>
      <c r="U52" t="n">
        <v>0</v>
      </c>
      <c r="V52" s="2" t="inlineStr"/>
    </row>
    <row r="53" ht="15" customHeight="1">
      <c r="A53" t="inlineStr">
        <is>
          <t>A 2664-2026</t>
        </is>
      </c>
      <c r="B53" t="inlineStr">
        <is>
          <t>avverkningsanmälan</t>
        </is>
      </c>
      <c r="C53" t="inlineStr">
        <is>
          <t>Föryngringsavverkning</t>
        </is>
      </c>
      <c r="D53" s="1" t="n">
        <v>46037</v>
      </c>
      <c r="E53" s="1" t="n">
        <v>46230</v>
      </c>
      <c r="F53" t="inlineStr">
        <is>
          <t>NORRBOTTENS LÄN</t>
        </is>
      </c>
      <c r="G53" t="inlineStr">
        <is>
          <t>KIRUNA</t>
        </is>
      </c>
      <c r="I53" t="n">
        <v>31.3</v>
      </c>
      <c r="J53" t="n">
        <v>0</v>
      </c>
      <c r="K53" t="n">
        <v>0</v>
      </c>
      <c r="L53" t="n">
        <v>0</v>
      </c>
      <c r="M53" t="n">
        <v>0</v>
      </c>
      <c r="N53" t="n">
        <v>0</v>
      </c>
      <c r="O53" t="n">
        <v>0</v>
      </c>
      <c r="P53" t="n">
        <v>0</v>
      </c>
      <c r="Q53" t="n">
        <v>0</v>
      </c>
      <c r="R53" t="n">
        <v>0</v>
      </c>
      <c r="S53" t="n">
        <v>0</v>
      </c>
      <c r="T53" t="n">
        <v>0</v>
      </c>
      <c r="U53" t="n">
        <v>0</v>
      </c>
      <c r="V53" s="2" t="inlineStr"/>
    </row>
    <row r="54" ht="15" customHeight="1">
      <c r="A54" t="inlineStr">
        <is>
          <t>A 9069-2023</t>
        </is>
      </c>
      <c r="B54" t="inlineStr">
        <is>
          <t>avverkningsanmälan</t>
        </is>
      </c>
      <c r="C54" t="inlineStr">
        <is>
          <t>Föryngringsavverkning</t>
        </is>
      </c>
      <c r="D54" s="1" t="n">
        <v>44979</v>
      </c>
      <c r="E54" s="1" t="n">
        <v>46230</v>
      </c>
      <c r="F54" t="inlineStr">
        <is>
          <t>NORRBOTTENS LÄN</t>
        </is>
      </c>
      <c r="G54" t="inlineStr">
        <is>
          <t>KIRUNA</t>
        </is>
      </c>
      <c r="H54" t="inlineStr">
        <is>
          <t>SCA</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29231-2026</t>
        </is>
      </c>
      <c r="B55" t="inlineStr">
        <is>
          <t>avverkningsanmälan</t>
        </is>
      </c>
      <c r="C55" t="inlineStr">
        <is>
          <t>Föryngringsavverkning</t>
        </is>
      </c>
      <c r="D55" s="1" t="n">
        <v>46202</v>
      </c>
      <c r="E55" s="1" t="n">
        <v>46230</v>
      </c>
      <c r="F55" t="inlineStr">
        <is>
          <t>NORRBOTTENS LÄN</t>
        </is>
      </c>
      <c r="G55" t="inlineStr">
        <is>
          <t>KIRUNA</t>
        </is>
      </c>
      <c r="I55" t="n">
        <v>10.7</v>
      </c>
      <c r="J55" t="n">
        <v>0</v>
      </c>
      <c r="K55" t="n">
        <v>0</v>
      </c>
      <c r="L55" t="n">
        <v>0</v>
      </c>
      <c r="M55" t="n">
        <v>0</v>
      </c>
      <c r="N55" t="n">
        <v>0</v>
      </c>
      <c r="O55" t="n">
        <v>0</v>
      </c>
      <c r="P55" t="n">
        <v>0</v>
      </c>
      <c r="Q55" t="n">
        <v>0</v>
      </c>
      <c r="R55" t="n">
        <v>0</v>
      </c>
      <c r="S55" t="n">
        <v>0</v>
      </c>
      <c r="T55" t="n">
        <v>0</v>
      </c>
      <c r="U55" t="n">
        <v>0</v>
      </c>
      <c r="V55" s="2" t="inlineStr"/>
    </row>
    <row r="56" ht="15" customHeight="1">
      <c r="A56" t="inlineStr">
        <is>
          <t>A 39006-2023</t>
        </is>
      </c>
      <c r="B56" t="inlineStr">
        <is>
          <t>avverkningsanmälan</t>
        </is>
      </c>
      <c r="C56" t="inlineStr">
        <is>
          <t>Avverkning för annat ändamål</t>
        </is>
      </c>
      <c r="D56" s="1" t="n">
        <v>45162</v>
      </c>
      <c r="E56" s="1" t="n">
        <v>46230</v>
      </c>
      <c r="F56" t="inlineStr">
        <is>
          <t>NORRBOTTENS LÄN</t>
        </is>
      </c>
      <c r="G56" t="inlineStr">
        <is>
          <t>KIRUNA</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29171-2026</t>
        </is>
      </c>
      <c r="B57" t="inlineStr">
        <is>
          <t>avverkningsanmälan</t>
        </is>
      </c>
      <c r="C57" t="inlineStr">
        <is>
          <t>Föryngringsavverkning</t>
        </is>
      </c>
      <c r="D57" s="1" t="n">
        <v>46202</v>
      </c>
      <c r="E57" s="1" t="n">
        <v>46230</v>
      </c>
      <c r="F57" t="inlineStr">
        <is>
          <t>NORRBOTTENS LÄN</t>
        </is>
      </c>
      <c r="G57" t="inlineStr">
        <is>
          <t>KIRUNA</t>
        </is>
      </c>
      <c r="I57" t="n">
        <v>4.9</v>
      </c>
      <c r="J57" t="n">
        <v>0</v>
      </c>
      <c r="K57" t="n">
        <v>0</v>
      </c>
      <c r="L57" t="n">
        <v>0</v>
      </c>
      <c r="M57" t="n">
        <v>0</v>
      </c>
      <c r="N57" t="n">
        <v>0</v>
      </c>
      <c r="O57" t="n">
        <v>0</v>
      </c>
      <c r="P57" t="n">
        <v>0</v>
      </c>
      <c r="Q57" t="n">
        <v>0</v>
      </c>
      <c r="R57" t="n">
        <v>0</v>
      </c>
      <c r="S57" t="n">
        <v>0</v>
      </c>
      <c r="T57" t="n">
        <v>0</v>
      </c>
      <c r="U57" t="n">
        <v>0</v>
      </c>
      <c r="V57" s="2" t="inlineStr"/>
    </row>
    <row r="58" ht="15" customHeight="1">
      <c r="A58" t="inlineStr">
        <is>
          <t>A 30591-2026</t>
        </is>
      </c>
      <c r="B58" t="inlineStr">
        <is>
          <t>avverkningsanmälan</t>
        </is>
      </c>
      <c r="C58" t="inlineStr">
        <is>
          <t>Föryngringsavverkning</t>
        </is>
      </c>
      <c r="D58" s="1" t="n">
        <v>46210</v>
      </c>
      <c r="E58" s="1" t="n">
        <v>46230</v>
      </c>
      <c r="F58" t="inlineStr">
        <is>
          <t>NORRBOTTENS LÄN</t>
        </is>
      </c>
      <c r="G58" t="inlineStr">
        <is>
          <t>KIRUNA</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20744-2024</t>
        </is>
      </c>
      <c r="B59" t="inlineStr">
        <is>
          <t>avverkningsanmälan</t>
        </is>
      </c>
      <c r="C59" t="inlineStr">
        <is>
          <t>Föryngringsavverkning</t>
        </is>
      </c>
      <c r="D59" s="1" t="n">
        <v>45436</v>
      </c>
      <c r="E59" s="1" t="n">
        <v>46230</v>
      </c>
      <c r="F59" t="inlineStr">
        <is>
          <t>NORRBOTTENS LÄN</t>
        </is>
      </c>
      <c r="G59" t="inlineStr">
        <is>
          <t>KIRUNA</t>
        </is>
      </c>
      <c r="I59" t="n">
        <v>9.699999999999999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30548-2026</t>
        </is>
      </c>
      <c r="B60" t="inlineStr">
        <is>
          <t>avverkningsanmälan</t>
        </is>
      </c>
      <c r="C60" t="inlineStr">
        <is>
          <t>Föryngringsavverkning</t>
        </is>
      </c>
      <c r="D60" s="1" t="n">
        <v>46210</v>
      </c>
      <c r="E60" s="1" t="n">
        <v>46230</v>
      </c>
      <c r="F60" t="inlineStr">
        <is>
          <t>NORRBOTTENS LÄN</t>
        </is>
      </c>
      <c r="G60" t="inlineStr">
        <is>
          <t>KIRUNA</t>
        </is>
      </c>
      <c r="I60" t="n">
        <v>25.3</v>
      </c>
      <c r="J60" t="n">
        <v>0</v>
      </c>
      <c r="K60" t="n">
        <v>0</v>
      </c>
      <c r="L60" t="n">
        <v>0</v>
      </c>
      <c r="M60" t="n">
        <v>0</v>
      </c>
      <c r="N60" t="n">
        <v>0</v>
      </c>
      <c r="O60" t="n">
        <v>0</v>
      </c>
      <c r="P60" t="n">
        <v>0</v>
      </c>
      <c r="Q60" t="n">
        <v>0</v>
      </c>
      <c r="R60" t="n">
        <v>0</v>
      </c>
      <c r="S60" t="n">
        <v>0</v>
      </c>
      <c r="T60" t="n">
        <v>0</v>
      </c>
      <c r="U60" t="n">
        <v>0</v>
      </c>
      <c r="V60" s="2" t="inlineStr"/>
    </row>
    <row r="61" ht="15" customHeight="1">
      <c r="A61" t="inlineStr">
        <is>
          <t>A 30524-2026</t>
        </is>
      </c>
      <c r="B61" t="inlineStr">
        <is>
          <t>avverkningsanmälan</t>
        </is>
      </c>
      <c r="C61" t="inlineStr">
        <is>
          <t>Föryngringsavverkning</t>
        </is>
      </c>
      <c r="D61" s="1" t="n">
        <v>46210</v>
      </c>
      <c r="E61" s="1" t="n">
        <v>46230</v>
      </c>
      <c r="F61" t="inlineStr">
        <is>
          <t>NORRBOTTENS LÄN</t>
        </is>
      </c>
      <c r="G61" t="inlineStr">
        <is>
          <t>KIRUNA</t>
        </is>
      </c>
      <c r="I61" t="n">
        <v>21.7</v>
      </c>
      <c r="J61" t="n">
        <v>0</v>
      </c>
      <c r="K61" t="n">
        <v>0</v>
      </c>
      <c r="L61" t="n">
        <v>0</v>
      </c>
      <c r="M61" t="n">
        <v>0</v>
      </c>
      <c r="N61" t="n">
        <v>0</v>
      </c>
      <c r="O61" t="n">
        <v>0</v>
      </c>
      <c r="P61" t="n">
        <v>0</v>
      </c>
      <c r="Q61" t="n">
        <v>0</v>
      </c>
      <c r="R61" t="n">
        <v>0</v>
      </c>
      <c r="S61" t="n">
        <v>0</v>
      </c>
      <c r="T61" t="n">
        <v>0</v>
      </c>
      <c r="U61" t="n">
        <v>0</v>
      </c>
      <c r="V61" s="2" t="inlineStr"/>
    </row>
    <row r="62" ht="15" customHeight="1">
      <c r="A62" t="inlineStr">
        <is>
          <t>A 30562-2026</t>
        </is>
      </c>
      <c r="B62" t="inlineStr">
        <is>
          <t>avverkningsanmälan</t>
        </is>
      </c>
      <c r="C62" t="inlineStr">
        <is>
          <t>Föryngringsavverkning</t>
        </is>
      </c>
      <c r="D62" s="1" t="n">
        <v>46210</v>
      </c>
      <c r="E62" s="1" t="n">
        <v>46230</v>
      </c>
      <c r="F62" t="inlineStr">
        <is>
          <t>NORRBOTTENS LÄN</t>
        </is>
      </c>
      <c r="G62" t="inlineStr">
        <is>
          <t>KIRUNA</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30594-2026</t>
        </is>
      </c>
      <c r="B63" t="inlineStr">
        <is>
          <t>avverkningsanmälan</t>
        </is>
      </c>
      <c r="C63" t="inlineStr">
        <is>
          <t>Föryngringsavverkning</t>
        </is>
      </c>
      <c r="D63" s="1" t="n">
        <v>46210</v>
      </c>
      <c r="E63" s="1" t="n">
        <v>46230</v>
      </c>
      <c r="F63" t="inlineStr">
        <is>
          <t>NORRBOTTENS LÄN</t>
        </is>
      </c>
      <c r="G63" t="inlineStr">
        <is>
          <t>KIRUNA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13405-2026</t>
        </is>
      </c>
      <c r="B64" t="inlineStr">
        <is>
          <t>avverkningsanmälan</t>
        </is>
      </c>
      <c r="C64" t="inlineStr">
        <is>
          <t>Föryngringsavverkning</t>
        </is>
      </c>
      <c r="D64" s="1" t="n">
        <v>46094</v>
      </c>
      <c r="E64" s="1" t="n">
        <v>46230</v>
      </c>
      <c r="F64" t="inlineStr">
        <is>
          <t>NORRBOTTENS LÄN</t>
        </is>
      </c>
      <c r="G64" t="inlineStr">
        <is>
          <t>KIRUNA</t>
        </is>
      </c>
      <c r="I64" t="n">
        <v>24.5</v>
      </c>
      <c r="J64" t="n">
        <v>0</v>
      </c>
      <c r="K64" t="n">
        <v>0</v>
      </c>
      <c r="L64" t="n">
        <v>0</v>
      </c>
      <c r="M64" t="n">
        <v>0</v>
      </c>
      <c r="N64" t="n">
        <v>0</v>
      </c>
      <c r="O64" t="n">
        <v>0</v>
      </c>
      <c r="P64" t="n">
        <v>0</v>
      </c>
      <c r="Q64" t="n">
        <v>0</v>
      </c>
      <c r="R64" t="n">
        <v>0</v>
      </c>
      <c r="S64" t="n">
        <v>0</v>
      </c>
      <c r="T64" t="n">
        <v>0</v>
      </c>
      <c r="U64" t="n">
        <v>0</v>
      </c>
      <c r="V64" s="2" t="inlineStr"/>
    </row>
    <row r="65" ht="15" customHeight="1">
      <c r="A65" t="inlineStr">
        <is>
          <t>A 18737-2023</t>
        </is>
      </c>
      <c r="B65" t="inlineStr">
        <is>
          <t>avverkningsanmälan</t>
        </is>
      </c>
      <c r="C65" t="inlineStr">
        <is>
          <t>Avverkning för annat ändamål</t>
        </is>
      </c>
      <c r="D65" s="1" t="n">
        <v>45042</v>
      </c>
      <c r="E65" s="1" t="n">
        <v>46230</v>
      </c>
      <c r="F65" t="inlineStr">
        <is>
          <t>NORRBOTTENS LÄN</t>
        </is>
      </c>
      <c r="G65" t="inlineStr">
        <is>
          <t>KIRUNA</t>
        </is>
      </c>
      <c r="H65" t="inlineStr">
        <is>
          <t>Sveaskog</t>
        </is>
      </c>
      <c r="I65" t="n">
        <v>10.7</v>
      </c>
      <c r="J65" t="n">
        <v>0</v>
      </c>
      <c r="K65" t="n">
        <v>0</v>
      </c>
      <c r="L65" t="n">
        <v>0</v>
      </c>
      <c r="M65" t="n">
        <v>0</v>
      </c>
      <c r="N65" t="n">
        <v>0</v>
      </c>
      <c r="O65" t="n">
        <v>0</v>
      </c>
      <c r="P65" t="n">
        <v>0</v>
      </c>
      <c r="Q65" t="n">
        <v>0</v>
      </c>
      <c r="R65" t="n">
        <v>0</v>
      </c>
      <c r="S65" t="n">
        <v>0</v>
      </c>
      <c r="T65" t="n">
        <v>0</v>
      </c>
      <c r="U65" t="n">
        <v>0</v>
      </c>
      <c r="V65" s="2" t="inlineStr"/>
    </row>
    <row r="66" ht="15" customHeight="1">
      <c r="A66" t="inlineStr">
        <is>
          <t>A 16197-2026</t>
        </is>
      </c>
      <c r="B66" t="inlineStr">
        <is>
          <t>avverkningsanmälan</t>
        </is>
      </c>
      <c r="C66" t="inlineStr">
        <is>
          <t>Avverkning för annat ändamål</t>
        </is>
      </c>
      <c r="D66" s="1" t="n">
        <v>46108</v>
      </c>
      <c r="E66" s="1" t="n">
        <v>46230</v>
      </c>
      <c r="F66" t="inlineStr">
        <is>
          <t>NORRBOTTENS LÄN</t>
        </is>
      </c>
      <c r="G66" t="inlineStr">
        <is>
          <t>KIRUNA</t>
        </is>
      </c>
      <c r="H66" t="inlineStr">
        <is>
          <t>Övriga statliga verk och myndigheter</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18388-2026</t>
        </is>
      </c>
      <c r="B67" t="inlineStr">
        <is>
          <t>avverkningsanmälan</t>
        </is>
      </c>
      <c r="C67" t="inlineStr">
        <is>
          <t>Föryngringsavverkning</t>
        </is>
      </c>
      <c r="D67" s="1" t="n">
        <v>46126</v>
      </c>
      <c r="E67" s="1" t="n">
        <v>46230</v>
      </c>
      <c r="F67" t="inlineStr">
        <is>
          <t>NORRBOTTENS LÄN</t>
        </is>
      </c>
      <c r="G67" t="inlineStr">
        <is>
          <t>KIRUNA</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12937-2026</t>
        </is>
      </c>
      <c r="B68" t="inlineStr">
        <is>
          <t>avverkningsanmälan</t>
        </is>
      </c>
      <c r="C68" t="inlineStr">
        <is>
          <t>Föryngringsavverkning</t>
        </is>
      </c>
      <c r="D68" s="1" t="n">
        <v>46092</v>
      </c>
      <c r="E68" s="1" t="n">
        <v>46230</v>
      </c>
      <c r="F68" t="inlineStr">
        <is>
          <t>NORRBOTTENS LÄN</t>
        </is>
      </c>
      <c r="G68" t="inlineStr">
        <is>
          <t>KIRUNA</t>
        </is>
      </c>
      <c r="I68" t="n">
        <v>37.2</v>
      </c>
      <c r="J68" t="n">
        <v>0</v>
      </c>
      <c r="K68" t="n">
        <v>0</v>
      </c>
      <c r="L68" t="n">
        <v>0</v>
      </c>
      <c r="M68" t="n">
        <v>0</v>
      </c>
      <c r="N68" t="n">
        <v>0</v>
      </c>
      <c r="O68" t="n">
        <v>0</v>
      </c>
      <c r="P68" t="n">
        <v>0</v>
      </c>
      <c r="Q68" t="n">
        <v>0</v>
      </c>
      <c r="R68" t="n">
        <v>0</v>
      </c>
      <c r="S68" t="n">
        <v>0</v>
      </c>
      <c r="T68" t="n">
        <v>0</v>
      </c>
      <c r="U68" t="n">
        <v>0</v>
      </c>
      <c r="V68" s="2" t="inlineStr"/>
    </row>
    <row r="69" ht="15" customHeight="1">
      <c r="A69" t="inlineStr">
        <is>
          <t>A 12969-2026</t>
        </is>
      </c>
      <c r="B69" t="inlineStr">
        <is>
          <t>avverkningsanmälan</t>
        </is>
      </c>
      <c r="C69" t="inlineStr">
        <is>
          <t>Föryngringsavverkning</t>
        </is>
      </c>
      <c r="D69" s="1" t="n">
        <v>46092</v>
      </c>
      <c r="E69" s="1" t="n">
        <v>46230</v>
      </c>
      <c r="F69" t="inlineStr">
        <is>
          <t>NORRBOTTENS LÄN</t>
        </is>
      </c>
      <c r="G69" t="inlineStr">
        <is>
          <t>KIRUNA</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12984-2026</t>
        </is>
      </c>
      <c r="B70" t="inlineStr">
        <is>
          <t>avverkningsanmälan</t>
        </is>
      </c>
      <c r="C70" t="inlineStr">
        <is>
          <t>Föryngringsavverkning</t>
        </is>
      </c>
      <c r="D70" s="1" t="n">
        <v>46092</v>
      </c>
      <c r="E70" s="1" t="n">
        <v>46230</v>
      </c>
      <c r="F70" t="inlineStr">
        <is>
          <t>NORRBOTTENS LÄN</t>
        </is>
      </c>
      <c r="G70" t="inlineStr">
        <is>
          <t>KIRUNA</t>
        </is>
      </c>
      <c r="I70" t="n">
        <v>18.2</v>
      </c>
      <c r="J70" t="n">
        <v>0</v>
      </c>
      <c r="K70" t="n">
        <v>0</v>
      </c>
      <c r="L70" t="n">
        <v>0</v>
      </c>
      <c r="M70" t="n">
        <v>0</v>
      </c>
      <c r="N70" t="n">
        <v>0</v>
      </c>
      <c r="O70" t="n">
        <v>0</v>
      </c>
      <c r="P70" t="n">
        <v>0</v>
      </c>
      <c r="Q70" t="n">
        <v>0</v>
      </c>
      <c r="R70" t="n">
        <v>0</v>
      </c>
      <c r="S70" t="n">
        <v>0</v>
      </c>
      <c r="T70" t="n">
        <v>0</v>
      </c>
      <c r="U70" t="n">
        <v>0</v>
      </c>
      <c r="V70" s="2" t="inlineStr"/>
    </row>
    <row r="71" ht="15" customHeight="1">
      <c r="A71" t="inlineStr">
        <is>
          <t>A 8350-2025</t>
        </is>
      </c>
      <c r="B71" t="inlineStr">
        <is>
          <t>avverkningsanmälan</t>
        </is>
      </c>
      <c r="C71" t="inlineStr">
        <is>
          <t>Avverkning för annat ändamål</t>
        </is>
      </c>
      <c r="D71" s="1" t="n">
        <v>45708</v>
      </c>
      <c r="E71" s="1" t="n">
        <v>46230</v>
      </c>
      <c r="F71" t="inlineStr">
        <is>
          <t>NORRBOTTENS LÄN</t>
        </is>
      </c>
      <c r="G71" t="inlineStr">
        <is>
          <t>KIRUNA</t>
        </is>
      </c>
      <c r="H71" t="inlineStr">
        <is>
          <t>Övriga statliga verk och myndigheter</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22504-2024</t>
        </is>
      </c>
      <c r="B72" t="inlineStr">
        <is>
          <t>avverkningsanmälan</t>
        </is>
      </c>
      <c r="C72" t="inlineStr">
        <is>
          <t>Föryngringsavverkning</t>
        </is>
      </c>
      <c r="D72" s="1" t="n">
        <v>45447</v>
      </c>
      <c r="E72" s="1" t="n">
        <v>46230</v>
      </c>
      <c r="F72" t="inlineStr">
        <is>
          <t>NORRBOTTENS LÄN</t>
        </is>
      </c>
      <c r="G72" t="inlineStr">
        <is>
          <t>KIRUNA</t>
        </is>
      </c>
      <c r="I72" t="n">
        <v>15.6</v>
      </c>
      <c r="J72" t="n">
        <v>0</v>
      </c>
      <c r="K72" t="n">
        <v>0</v>
      </c>
      <c r="L72" t="n">
        <v>0</v>
      </c>
      <c r="M72" t="n">
        <v>0</v>
      </c>
      <c r="N72" t="n">
        <v>0</v>
      </c>
      <c r="O72" t="n">
        <v>0</v>
      </c>
      <c r="P72" t="n">
        <v>0</v>
      </c>
      <c r="Q72" t="n">
        <v>0</v>
      </c>
      <c r="R72" t="n">
        <v>0</v>
      </c>
      <c r="S72" t="n">
        <v>0</v>
      </c>
      <c r="T72" t="n">
        <v>0</v>
      </c>
      <c r="U72" t="n">
        <v>0</v>
      </c>
      <c r="V72" s="2" t="inlineStr"/>
    </row>
    <row r="73" ht="15" customHeight="1">
      <c r="A73" t="inlineStr">
        <is>
          <t>A 62452-2022</t>
        </is>
      </c>
      <c r="B73" t="inlineStr">
        <is>
          <t>avverkningsanmälan</t>
        </is>
      </c>
      <c r="C73" t="inlineStr">
        <is>
          <t>Föryngringsavverkning</t>
        </is>
      </c>
      <c r="D73" s="1" t="n">
        <v>44916</v>
      </c>
      <c r="E73" s="1" t="n">
        <v>46230</v>
      </c>
      <c r="F73" t="inlineStr">
        <is>
          <t>NORRBOTTENS LÄN</t>
        </is>
      </c>
      <c r="G73" t="inlineStr">
        <is>
          <t>KIRUNA</t>
        </is>
      </c>
      <c r="I73" t="n">
        <v>7.2</v>
      </c>
      <c r="J73" t="n">
        <v>0</v>
      </c>
      <c r="K73" t="n">
        <v>0</v>
      </c>
      <c r="L73" t="n">
        <v>0</v>
      </c>
      <c r="M73" t="n">
        <v>0</v>
      </c>
      <c r="N73" t="n">
        <v>0</v>
      </c>
      <c r="O73" t="n">
        <v>0</v>
      </c>
      <c r="P73" t="n">
        <v>0</v>
      </c>
      <c r="Q73" t="n">
        <v>0</v>
      </c>
      <c r="R73" t="n">
        <v>0</v>
      </c>
      <c r="S73" t="n">
        <v>0</v>
      </c>
      <c r="T73" t="n">
        <v>0</v>
      </c>
      <c r="U73" t="n">
        <v>0</v>
      </c>
      <c r="V73" s="2" t="inlineStr"/>
    </row>
    <row r="74" ht="15" customHeight="1">
      <c r="A74" t="inlineStr">
        <is>
          <t>A 38577-2024</t>
        </is>
      </c>
      <c r="B74" t="inlineStr">
        <is>
          <t>avverkningsanmälan</t>
        </is>
      </c>
      <c r="C74" t="inlineStr">
        <is>
          <t>Föryngringsavverkning</t>
        </is>
      </c>
      <c r="D74" s="1" t="n">
        <v>45546</v>
      </c>
      <c r="E74" s="1" t="n">
        <v>46230</v>
      </c>
      <c r="F74" t="inlineStr">
        <is>
          <t>NORRBOTTENS LÄN</t>
        </is>
      </c>
      <c r="G74" t="inlineStr">
        <is>
          <t>KIRUNA</t>
        </is>
      </c>
      <c r="I74" t="n">
        <v>39.8</v>
      </c>
      <c r="J74" t="n">
        <v>0</v>
      </c>
      <c r="K74" t="n">
        <v>0</v>
      </c>
      <c r="L74" t="n">
        <v>0</v>
      </c>
      <c r="M74" t="n">
        <v>0</v>
      </c>
      <c r="N74" t="n">
        <v>0</v>
      </c>
      <c r="O74" t="n">
        <v>0</v>
      </c>
      <c r="P74" t="n">
        <v>0</v>
      </c>
      <c r="Q74" t="n">
        <v>0</v>
      </c>
      <c r="R74" t="n">
        <v>0</v>
      </c>
      <c r="S74" t="n">
        <v>0</v>
      </c>
      <c r="T74" t="n">
        <v>0</v>
      </c>
      <c r="U74" t="n">
        <v>0</v>
      </c>
      <c r="V74" s="2" t="inlineStr"/>
    </row>
    <row r="75" ht="15" customHeight="1">
      <c r="A75" t="inlineStr">
        <is>
          <t>A 23469-2022</t>
        </is>
      </c>
      <c r="B75" t="inlineStr">
        <is>
          <t>avverkningsanmälan</t>
        </is>
      </c>
      <c r="C75" t="inlineStr">
        <is>
          <t>Föryngringsavverkning</t>
        </is>
      </c>
      <c r="D75" s="1" t="n">
        <v>44721</v>
      </c>
      <c r="E75" s="1" t="n">
        <v>46230</v>
      </c>
      <c r="F75" t="inlineStr">
        <is>
          <t>NORRBOTTENS LÄN</t>
        </is>
      </c>
      <c r="G75" t="inlineStr">
        <is>
          <t>KIRUNA</t>
        </is>
      </c>
      <c r="I75" t="n">
        <v>11.8</v>
      </c>
      <c r="J75" t="n">
        <v>0</v>
      </c>
      <c r="K75" t="n">
        <v>0</v>
      </c>
      <c r="L75" t="n">
        <v>0</v>
      </c>
      <c r="M75" t="n">
        <v>0</v>
      </c>
      <c r="N75" t="n">
        <v>0</v>
      </c>
      <c r="O75" t="n">
        <v>0</v>
      </c>
      <c r="P75" t="n">
        <v>0</v>
      </c>
      <c r="Q75" t="n">
        <v>0</v>
      </c>
      <c r="R75" t="n">
        <v>0</v>
      </c>
      <c r="S75" t="n">
        <v>0</v>
      </c>
      <c r="T75" t="n">
        <v>0</v>
      </c>
      <c r="U75" t="n">
        <v>0</v>
      </c>
      <c r="V75" s="2" t="inlineStr"/>
    </row>
    <row r="76" ht="15" customHeight="1">
      <c r="A76" t="inlineStr">
        <is>
          <t>A 18738-2022</t>
        </is>
      </c>
      <c r="B76" t="inlineStr">
        <is>
          <t>avverkningsanmälan</t>
        </is>
      </c>
      <c r="C76" t="inlineStr">
        <is>
          <t>Avverkning för annat ändamål</t>
        </is>
      </c>
      <c r="D76" s="1" t="n">
        <v>44687</v>
      </c>
      <c r="E76" s="1" t="n">
        <v>46230</v>
      </c>
      <c r="F76" t="inlineStr">
        <is>
          <t>NORRBOTTENS LÄN</t>
        </is>
      </c>
      <c r="G76" t="inlineStr">
        <is>
          <t>KIRUNA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5476-2024</t>
        </is>
      </c>
      <c r="B77" t="inlineStr">
        <is>
          <t>avverkningsanmälan</t>
        </is>
      </c>
      <c r="C77" t="inlineStr">
        <is>
          <t>Föryngringsavverkning</t>
        </is>
      </c>
      <c r="D77" s="1" t="n">
        <v>45333</v>
      </c>
      <c r="E77" s="1" t="n">
        <v>46230</v>
      </c>
      <c r="F77" t="inlineStr">
        <is>
          <t>NORRBOTTENS LÄN</t>
        </is>
      </c>
      <c r="G77" t="inlineStr">
        <is>
          <t>KIRUNA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34693-2022</t>
        </is>
      </c>
      <c r="B78" t="inlineStr">
        <is>
          <t>avverkningsanmälan</t>
        </is>
      </c>
      <c r="C78" t="inlineStr">
        <is>
          <t>Föryngringsavverkning</t>
        </is>
      </c>
      <c r="D78" s="1" t="n">
        <v>44795</v>
      </c>
      <c r="E78" s="1" t="n">
        <v>46230</v>
      </c>
      <c r="F78" t="inlineStr">
        <is>
          <t>NORRBOTTENS LÄN</t>
        </is>
      </c>
      <c r="G78" t="inlineStr">
        <is>
          <t>KIRUNA</t>
        </is>
      </c>
      <c r="I78" t="n">
        <v>12.3</v>
      </c>
      <c r="J78" t="n">
        <v>0</v>
      </c>
      <c r="K78" t="n">
        <v>0</v>
      </c>
      <c r="L78" t="n">
        <v>0</v>
      </c>
      <c r="M78" t="n">
        <v>0</v>
      </c>
      <c r="N78" t="n">
        <v>0</v>
      </c>
      <c r="O78" t="n">
        <v>0</v>
      </c>
      <c r="P78" t="n">
        <v>0</v>
      </c>
      <c r="Q78" t="n">
        <v>0</v>
      </c>
      <c r="R78" t="n">
        <v>0</v>
      </c>
      <c r="S78" t="n">
        <v>0</v>
      </c>
      <c r="T78" t="n">
        <v>0</v>
      </c>
      <c r="U78" t="n">
        <v>0</v>
      </c>
      <c r="V78" s="2" t="inlineStr"/>
    </row>
    <row r="79" ht="15" customHeight="1">
      <c r="A79" t="inlineStr">
        <is>
          <t>A 41127-2023</t>
        </is>
      </c>
      <c r="B79" t="inlineStr">
        <is>
          <t>avverkningsanmälan</t>
        </is>
      </c>
      <c r="C79" t="inlineStr">
        <is>
          <t>Avverkning för annat ändamål</t>
        </is>
      </c>
      <c r="D79" s="1" t="n">
        <v>45173</v>
      </c>
      <c r="E79" s="1" t="n">
        <v>46230</v>
      </c>
      <c r="F79" t="inlineStr">
        <is>
          <t>NORRBOTTENS LÄN</t>
        </is>
      </c>
      <c r="G79" t="inlineStr">
        <is>
          <t>KIRUNA</t>
        </is>
      </c>
      <c r="H79" t="inlineStr">
        <is>
          <t>SCA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18721-2024</t>
        </is>
      </c>
      <c r="B80" t="inlineStr">
        <is>
          <t>avverkningsanmälan</t>
        </is>
      </c>
      <c r="C80" t="inlineStr">
        <is>
          <t>Föryngringsavverkning</t>
        </is>
      </c>
      <c r="D80" s="1" t="n">
        <v>45426</v>
      </c>
      <c r="E80" s="1" t="n">
        <v>46230</v>
      </c>
      <c r="F80" t="inlineStr">
        <is>
          <t>NORRBOTTENS LÄN</t>
        </is>
      </c>
      <c r="G80" t="inlineStr">
        <is>
          <t>KIRUNA</t>
        </is>
      </c>
      <c r="I80" t="n">
        <v>62.1</v>
      </c>
      <c r="J80" t="n">
        <v>0</v>
      </c>
      <c r="K80" t="n">
        <v>0</v>
      </c>
      <c r="L80" t="n">
        <v>0</v>
      </c>
      <c r="M80" t="n">
        <v>0</v>
      </c>
      <c r="N80" t="n">
        <v>0</v>
      </c>
      <c r="O80" t="n">
        <v>0</v>
      </c>
      <c r="P80" t="n">
        <v>0</v>
      </c>
      <c r="Q80" t="n">
        <v>0</v>
      </c>
      <c r="R80" t="n">
        <v>0</v>
      </c>
      <c r="S80" t="n">
        <v>0</v>
      </c>
      <c r="T80" t="n">
        <v>0</v>
      </c>
      <c r="U80" t="n">
        <v>0</v>
      </c>
      <c r="V80" s="2" t="inlineStr"/>
    </row>
    <row r="81" ht="15" customHeight="1">
      <c r="A81" t="inlineStr">
        <is>
          <t>A 13526-2024</t>
        </is>
      </c>
      <c r="B81" t="inlineStr">
        <is>
          <t>avverkningsanmälan</t>
        </is>
      </c>
      <c r="C81" t="inlineStr">
        <is>
          <t>Föryngringsavverkning</t>
        </is>
      </c>
      <c r="D81" s="1" t="n">
        <v>45387</v>
      </c>
      <c r="E81" s="1" t="n">
        <v>46230</v>
      </c>
      <c r="F81" t="inlineStr">
        <is>
          <t>NORRBOTTENS LÄN</t>
        </is>
      </c>
      <c r="G81" t="inlineStr">
        <is>
          <t>KIRUNA</t>
        </is>
      </c>
      <c r="I81" t="n">
        <v>8.199999999999999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62439-2022</t>
        </is>
      </c>
      <c r="B82" t="inlineStr">
        <is>
          <t>avverkningsanmälan</t>
        </is>
      </c>
      <c r="C82" t="inlineStr">
        <is>
          <t>Föryngringsavverkning</t>
        </is>
      </c>
      <c r="D82" s="1" t="n">
        <v>44916</v>
      </c>
      <c r="E82" s="1" t="n">
        <v>46230</v>
      </c>
      <c r="F82" t="inlineStr">
        <is>
          <t>NORRBOTTENS LÄN</t>
        </is>
      </c>
      <c r="G82" t="inlineStr">
        <is>
          <t>KIRUNA</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50590-2023</t>
        </is>
      </c>
      <c r="B83" t="inlineStr">
        <is>
          <t>avverkningsanmälan</t>
        </is>
      </c>
      <c r="C83" t="inlineStr">
        <is>
          <t>Föryngringsavverkning</t>
        </is>
      </c>
      <c r="D83" s="1" t="n">
        <v>45217</v>
      </c>
      <c r="E83" s="1" t="n">
        <v>46230</v>
      </c>
      <c r="F83" t="inlineStr">
        <is>
          <t>NORRBOTTENS LÄN</t>
        </is>
      </c>
      <c r="G83" t="inlineStr">
        <is>
          <t>KIRUNA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34663-2025</t>
        </is>
      </c>
      <c r="B84" t="inlineStr">
        <is>
          <t>avverkningsanmälan</t>
        </is>
      </c>
      <c r="C84" t="inlineStr">
        <is>
          <t>Föryngringsavverkning</t>
        </is>
      </c>
      <c r="D84" s="1" t="n">
        <v>45848</v>
      </c>
      <c r="E84" s="1" t="n">
        <v>46230</v>
      </c>
      <c r="F84" t="inlineStr">
        <is>
          <t>NORRBOTTENS LÄN</t>
        </is>
      </c>
      <c r="G84" t="inlineStr">
        <is>
          <t>KIRUNA</t>
        </is>
      </c>
      <c r="I84" t="n">
        <v>5.1</v>
      </c>
      <c r="J84" t="n">
        <v>0</v>
      </c>
      <c r="K84" t="n">
        <v>0</v>
      </c>
      <c r="L84" t="n">
        <v>0</v>
      </c>
      <c r="M84" t="n">
        <v>0</v>
      </c>
      <c r="N84" t="n">
        <v>0</v>
      </c>
      <c r="O84" t="n">
        <v>0</v>
      </c>
      <c r="P84" t="n">
        <v>0</v>
      </c>
      <c r="Q84" t="n">
        <v>0</v>
      </c>
      <c r="R84" t="n">
        <v>0</v>
      </c>
      <c r="S84" t="n">
        <v>0</v>
      </c>
      <c r="T84" t="n">
        <v>0</v>
      </c>
      <c r="U84" t="n">
        <v>0</v>
      </c>
      <c r="V84" s="2" t="inlineStr"/>
    </row>
    <row r="85" ht="15" customHeight="1">
      <c r="A85" t="inlineStr">
        <is>
          <t>A 34664-2025</t>
        </is>
      </c>
      <c r="B85" t="inlineStr">
        <is>
          <t>avverkningsanmälan</t>
        </is>
      </c>
      <c r="C85" t="inlineStr">
        <is>
          <t>Föryngringsavverkning</t>
        </is>
      </c>
      <c r="D85" s="1" t="n">
        <v>45848</v>
      </c>
      <c r="E85" s="1" t="n">
        <v>46230</v>
      </c>
      <c r="F85" t="inlineStr">
        <is>
          <t>NORRBOTTENS LÄN</t>
        </is>
      </c>
      <c r="G85" t="inlineStr">
        <is>
          <t>KIRUNA</t>
        </is>
      </c>
      <c r="I85" t="n">
        <v>8.4</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46230</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2026-07-27T01:50:06Z</dcterms:created>
  <dcterms:modified xmlns:dcterms="http://purl.org/dc/terms/" xmlns:xsi="http://www.w3.org/2001/XMLSchema-instance" xsi:type="dcterms:W3CDTF">2026-07-27T01:50:06Z</dcterms:modified>
</cp:coreProperties>
</file>