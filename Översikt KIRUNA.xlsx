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46250</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46250</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A 30548-2026</t>
        </is>
      </c>
      <c r="B4" t="inlineStr">
        <is>
          <t>avverkningsanmälan</t>
        </is>
      </c>
      <c r="C4" t="inlineStr">
        <is>
          <t>Föryngringsavverkning</t>
        </is>
      </c>
      <c r="D4" s="1" t="n">
        <v>46210</v>
      </c>
      <c r="E4" s="1" t="n">
        <v>46250</v>
      </c>
      <c r="F4" t="inlineStr">
        <is>
          <t>NORRBOTTENS LÄN</t>
        </is>
      </c>
      <c r="G4" t="inlineStr">
        <is>
          <t>KIRUNA</t>
        </is>
      </c>
      <c r="I4" t="n">
        <v>25.3</v>
      </c>
      <c r="J4" t="n">
        <v>4</v>
      </c>
      <c r="K4" t="n">
        <v>4</v>
      </c>
      <c r="L4" t="n">
        <v>9</v>
      </c>
      <c r="M4" t="n">
        <v>1</v>
      </c>
      <c r="N4" t="n">
        <v>0</v>
      </c>
      <c r="O4" t="n">
        <v>0</v>
      </c>
      <c r="P4" t="n">
        <v>0</v>
      </c>
      <c r="Q4" t="n">
        <v>10</v>
      </c>
      <c r="R4" t="n">
        <v>1</v>
      </c>
      <c r="S4" t="n">
        <v>17</v>
      </c>
      <c r="T4" t="n">
        <v>20</v>
      </c>
      <c r="U4" t="n">
        <v>20</v>
      </c>
      <c r="V4" s="2" t="inlineStr">
        <is>
          <t>Grantickeporing
Blanksvart spiklav
Hornvaxskinn
Kolflarnlav
Lavskrika
Luddfingersvamp
Rödbrun blekspik
Vaxspindling
Vedskivlav
Vitplätt
Luddlav
Plattlummer
Skinnlav
Ögonpyrola
Mattlummer
Timmerticka
Revlummer</t>
        </is>
      </c>
      <c r="W4">
        <f>HYPERLINK("https://klasma.github.io/Logging_2584/artfynd/A 30548-2026 artfynd.xlsx", "A 30548-2026")</f>
        <v/>
      </c>
      <c r="X4">
        <f>HYPERLINK("https://klasma.github.io/Logging_2584/kartor/A 30548-2026 karta.png", "A 30548-2026")</f>
        <v/>
      </c>
      <c r="Y4">
        <f>HYPERLINK("https://klasma.github.io/Logging_2584/kartor_geotiff/A 30548-2026 georefererad karta.tif", "A 30548-2026")</f>
        <v/>
      </c>
      <c r="AA4">
        <f>HYPERLINK("https://klasma.github.io/Logging_2584/klagomål/A 30548-2026 FSC-klagomål.docx", "A 30548-2026")</f>
        <v/>
      </c>
      <c r="AB4">
        <f>HYPERLINK("https://klasma.github.io/Logging_2584/klagomålsmail/A 30548-2026 FSC-klagomål mail.docx", "A 30548-2026")</f>
        <v/>
      </c>
      <c r="AC4">
        <f>HYPERLINK("https://klasma.github.io/Logging_2584/tillsyn/A 30548-2026 tillsynsbegäran.docx", "A 30548-2026")</f>
        <v/>
      </c>
      <c r="AD4">
        <f>HYPERLINK("https://klasma.github.io/Logging_2584/tillsynsmail/A 30548-2026 tillsynsbegäran mail.docx", "A 30548-2026")</f>
        <v/>
      </c>
      <c r="AE4">
        <f>HYPERLINK("https://klasma.github.io/Logging_2584/fåglar/A 30548-2026 prioriterade fågelarter.docx", "A 30548-2026")</f>
        <v/>
      </c>
    </row>
    <row r="5" ht="15" customHeight="1">
      <c r="A5" t="inlineStr">
        <is>
          <t>A 32844-2026</t>
        </is>
      </c>
      <c r="B5" t="inlineStr">
        <is>
          <t>avverkningsanmälan</t>
        </is>
      </c>
      <c r="C5" t="inlineStr">
        <is>
          <t>Föryngringsavverkning</t>
        </is>
      </c>
      <c r="D5" s="1" t="n">
        <v>46244</v>
      </c>
      <c r="E5" s="1" t="n">
        <v>46250</v>
      </c>
      <c r="F5" t="inlineStr">
        <is>
          <t>NORRBOTTENS LÄN</t>
        </is>
      </c>
      <c r="G5" t="inlineStr">
        <is>
          <t>KIRUNA</t>
        </is>
      </c>
      <c r="I5" t="n">
        <v>19.7</v>
      </c>
      <c r="J5" t="n">
        <v>3</v>
      </c>
      <c r="K5" t="n">
        <v>1</v>
      </c>
      <c r="L5" t="n">
        <v>10</v>
      </c>
      <c r="M5" t="n">
        <v>0</v>
      </c>
      <c r="N5" t="n">
        <v>0</v>
      </c>
      <c r="O5" t="n">
        <v>0</v>
      </c>
      <c r="P5" t="n">
        <v>0</v>
      </c>
      <c r="Q5" t="n">
        <v>10</v>
      </c>
      <c r="R5" t="n">
        <v>0</v>
      </c>
      <c r="S5" t="n">
        <v>12</v>
      </c>
      <c r="T5" t="n">
        <v>17</v>
      </c>
      <c r="U5" t="n">
        <v>17</v>
      </c>
      <c r="V5" s="2" t="inlineStr">
        <is>
          <t>Gammelgransskål
Hornvaxskinn
Knottrig blåslav
Lappmes
Lavskrika
Talltagel
Tretåig hackspett
Vedskivlav
Violmussling
Vitplätt
Skinnlav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46250</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46250</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61178-2025</t>
        </is>
      </c>
      <c r="B8" t="inlineStr">
        <is>
          <t>avverkningsanmälan</t>
        </is>
      </c>
      <c r="C8" t="inlineStr">
        <is>
          <t>Föryngringsavverkning</t>
        </is>
      </c>
      <c r="D8" s="1" t="n">
        <v>46000</v>
      </c>
      <c r="E8" s="1" t="n">
        <v>46250</v>
      </c>
      <c r="F8" t="inlineStr">
        <is>
          <t>NORRBOTTENS LÄN</t>
        </is>
      </c>
      <c r="G8" t="inlineStr">
        <is>
          <t>KIRUNA</t>
        </is>
      </c>
      <c r="I8" t="n">
        <v>31.3</v>
      </c>
      <c r="J8" t="n">
        <v>1</v>
      </c>
      <c r="K8" t="n">
        <v>1</v>
      </c>
      <c r="L8" t="n">
        <v>7</v>
      </c>
      <c r="M8" t="n">
        <v>1</v>
      </c>
      <c r="N8" t="n">
        <v>0</v>
      </c>
      <c r="O8" t="n">
        <v>0</v>
      </c>
      <c r="P8" t="n">
        <v>0</v>
      </c>
      <c r="Q8" t="n">
        <v>8</v>
      </c>
      <c r="R8" t="n">
        <v>1</v>
      </c>
      <c r="S8" t="n">
        <v>9</v>
      </c>
      <c r="T8" t="n">
        <v>10</v>
      </c>
      <c r="U8" t="n">
        <v>0</v>
      </c>
      <c r="V8" s="2" t="inlineStr">
        <is>
          <t>Skrovlig taggsvamp
Blanksvart spiklav
Blå taggsvamp
Dvärgbägarlav
Gammelgransskål
Orange taggsvamp
Vedskivlav
Vitplätt
Plattlummer</t>
        </is>
      </c>
      <c r="W8">
        <f>HYPERLINK("https://klasma.github.io/Logging_2584/artfynd/A 61178-2025 artfynd.xlsx", "A 61178-2025")</f>
        <v/>
      </c>
      <c r="X8">
        <f>HYPERLINK("https://klasma.github.io/Logging_2584/kartor/A 61178-2025 karta.png", "A 61178-2025")</f>
        <v/>
      </c>
      <c r="Y8">
        <f>HYPERLINK("https://klasma.github.io/Logging_2584/kartor_geotiff/A 61178-2025 georefererad karta.tif", "A 61178-2025")</f>
        <v/>
      </c>
      <c r="AA8">
        <f>HYPERLINK("https://klasma.github.io/Logging_2584/klagomål/A 61178-2025 FSC-klagomål.docx", "A 61178-2025")</f>
        <v/>
      </c>
      <c r="AB8">
        <f>HYPERLINK("https://klasma.github.io/Logging_2584/klagomålsmail/A 61178-2025 FSC-klagomål mail.docx", "A 61178-2025")</f>
        <v/>
      </c>
      <c r="AC8">
        <f>HYPERLINK("https://klasma.github.io/Logging_2584/tillsyn/A 61178-2025 tillsynsbegäran.docx", "A 61178-2025")</f>
        <v/>
      </c>
      <c r="AD8">
        <f>HYPERLINK("https://klasma.github.io/Logging_2584/tillsynsmail/A 61178-2025 tillsynsbegäran mail.docx", "A 61178-2025")</f>
        <v/>
      </c>
    </row>
    <row r="9" ht="15" customHeight="1">
      <c r="A9" t="inlineStr">
        <is>
          <t>A 20570-2025</t>
        </is>
      </c>
      <c r="B9" t="inlineStr">
        <is>
          <t>avverkningsanmälan</t>
        </is>
      </c>
      <c r="C9" t="inlineStr">
        <is>
          <t>Föryngringsavverkning</t>
        </is>
      </c>
      <c r="D9" s="1" t="n">
        <v>45775</v>
      </c>
      <c r="E9" s="1" t="n">
        <v>46250</v>
      </c>
      <c r="F9" t="inlineStr">
        <is>
          <t>NORRBOTTENS LÄN</t>
        </is>
      </c>
      <c r="G9" t="inlineStr">
        <is>
          <t>KIRUNA</t>
        </is>
      </c>
      <c r="H9" t="inlineStr">
        <is>
          <t>Sveaskog</t>
        </is>
      </c>
      <c r="I9" t="n">
        <v>31.4</v>
      </c>
      <c r="J9" t="n">
        <v>1</v>
      </c>
      <c r="K9" t="n">
        <v>2</v>
      </c>
      <c r="L9" t="n">
        <v>2</v>
      </c>
      <c r="M9" t="n">
        <v>1</v>
      </c>
      <c r="N9" t="n">
        <v>0</v>
      </c>
      <c r="O9" t="n">
        <v>0</v>
      </c>
      <c r="P9" t="n">
        <v>0</v>
      </c>
      <c r="Q9" t="n">
        <v>3</v>
      </c>
      <c r="R9" t="n">
        <v>1</v>
      </c>
      <c r="S9" t="n">
        <v>5</v>
      </c>
      <c r="T9" t="n">
        <v>7</v>
      </c>
      <c r="U9" t="n">
        <v>0</v>
      </c>
      <c r="V9" s="2" t="inlineStr">
        <is>
          <t>Garnlav
Harticka
Knottrig blåslav
Lappranunkel
Stuplav</t>
        </is>
      </c>
      <c r="W9">
        <f>HYPERLINK("https://klasma.github.io/Logging_2584/artfynd/A 20570-2025 artfynd.xlsx", "A 20570-2025")</f>
        <v/>
      </c>
      <c r="X9">
        <f>HYPERLINK("https://klasma.github.io/Logging_2584/kartor/A 20570-2025 karta.png", "A 20570-2025")</f>
        <v/>
      </c>
      <c r="Y9">
        <f>HYPERLINK("https://klasma.github.io/Logging_2584/kartor_geotiff/A 20570-2025 georefererad karta.tif", "A 20570-2025")</f>
        <v/>
      </c>
      <c r="AA9">
        <f>HYPERLINK("https://klasma.github.io/Logging_2584/klagomål/A 20570-2025 FSC-klagomål.docx", "A 20570-2025")</f>
        <v/>
      </c>
      <c r="AB9">
        <f>HYPERLINK("https://klasma.github.io/Logging_2584/klagomålsmail/A 20570-2025 FSC-klagomål mail.docx", "A 20570-2025")</f>
        <v/>
      </c>
      <c r="AC9">
        <f>HYPERLINK("https://klasma.github.io/Logging_2584/tillsyn/A 20570-2025 tillsynsbegäran.docx", "A 20570-2025")</f>
        <v/>
      </c>
      <c r="AD9">
        <f>HYPERLINK("https://klasma.github.io/Logging_2584/tillsynsmail/A 20570-2025 tillsynsbegäran mail.docx", "A 20570-2025")</f>
        <v/>
      </c>
    </row>
    <row r="10" ht="15" customHeight="1">
      <c r="A10" t="inlineStr">
        <is>
          <t>A 24485-2026</t>
        </is>
      </c>
      <c r="B10" t="inlineStr">
        <is>
          <t>avverkningsanmälan</t>
        </is>
      </c>
      <c r="C10" t="inlineStr">
        <is>
          <t>Föryngringsavverkning</t>
        </is>
      </c>
      <c r="D10" s="1" t="n">
        <v>46170</v>
      </c>
      <c r="E10" s="1" t="n">
        <v>46250</v>
      </c>
      <c r="F10" t="inlineStr">
        <is>
          <t>NORRBOTTENS LÄN</t>
        </is>
      </c>
      <c r="G10" t="inlineStr">
        <is>
          <t>KIRUNA</t>
        </is>
      </c>
      <c r="I10" t="n">
        <v>14.8</v>
      </c>
      <c r="J10" t="n">
        <v>1</v>
      </c>
      <c r="K10" t="n">
        <v>1</v>
      </c>
      <c r="L10" t="n">
        <v>2</v>
      </c>
      <c r="M10" t="n">
        <v>1</v>
      </c>
      <c r="N10" t="n">
        <v>0</v>
      </c>
      <c r="O10" t="n">
        <v>0</v>
      </c>
      <c r="P10" t="n">
        <v>0</v>
      </c>
      <c r="Q10" t="n">
        <v>3</v>
      </c>
      <c r="R10" t="n">
        <v>1</v>
      </c>
      <c r="S10" t="n">
        <v>4</v>
      </c>
      <c r="T10" t="n">
        <v>5</v>
      </c>
      <c r="U10" t="n">
        <v>0</v>
      </c>
      <c r="V10" s="2" t="inlineStr">
        <is>
          <t>Fläckporing
Dropptaggsvamp
Vitplätt
Plattlummer</t>
        </is>
      </c>
      <c r="W10">
        <f>HYPERLINK("https://klasma.github.io/Logging_2584/artfynd/A 24485-2026 artfynd.xlsx", "A 24485-2026")</f>
        <v/>
      </c>
      <c r="X10">
        <f>HYPERLINK("https://klasma.github.io/Logging_2584/kartor/A 24485-2026 karta.png", "A 24485-2026")</f>
        <v/>
      </c>
      <c r="Y10">
        <f>HYPERLINK("https://klasma.github.io/Logging_2584/kartor_geotiff/A 24485-2026 georefererad karta.tif", "A 24485-2026")</f>
        <v/>
      </c>
      <c r="AA10">
        <f>HYPERLINK("https://klasma.github.io/Logging_2584/klagomål/A 24485-2026 FSC-klagomål.docx", "A 24485-2026")</f>
        <v/>
      </c>
      <c r="AB10">
        <f>HYPERLINK("https://klasma.github.io/Logging_2584/klagomålsmail/A 24485-2026 FSC-klagomål mail.docx", "A 24485-2026")</f>
        <v/>
      </c>
      <c r="AC10">
        <f>HYPERLINK("https://klasma.github.io/Logging_2584/tillsyn/A 24485-2026 tillsynsbegäran.docx", "A 24485-2026")</f>
        <v/>
      </c>
      <c r="AD10">
        <f>HYPERLINK("https://klasma.github.io/Logging_2584/tillsynsmail/A 24485-2026 tillsynsbegäran mail.docx", "A 24485-2026")</f>
        <v/>
      </c>
    </row>
    <row r="11" ht="15" customHeight="1">
      <c r="A11" t="inlineStr">
        <is>
          <t>A 64829-2023</t>
        </is>
      </c>
      <c r="B11" t="inlineStr">
        <is>
          <t>avverkningsanmälan</t>
        </is>
      </c>
      <c r="C11" t="inlineStr">
        <is>
          <t>Avverkning för annat ändamål</t>
        </is>
      </c>
      <c r="D11" s="1" t="n">
        <v>45281</v>
      </c>
      <c r="E11" s="1" t="n">
        <v>46250</v>
      </c>
      <c r="F11" t="inlineStr">
        <is>
          <t>NORRBOTTENS LÄN</t>
        </is>
      </c>
      <c r="G11" t="inlineStr">
        <is>
          <t>KIRUNA</t>
        </is>
      </c>
      <c r="I11" t="n">
        <v>31.7</v>
      </c>
      <c r="J11" t="n">
        <v>2</v>
      </c>
      <c r="K11" t="n">
        <v>0</v>
      </c>
      <c r="L11" t="n">
        <v>2</v>
      </c>
      <c r="M11" t="n">
        <v>0</v>
      </c>
      <c r="N11" t="n">
        <v>0</v>
      </c>
      <c r="O11" t="n">
        <v>0</v>
      </c>
      <c r="P11" t="n">
        <v>0</v>
      </c>
      <c r="Q11" t="n">
        <v>2</v>
      </c>
      <c r="R11" t="n">
        <v>0</v>
      </c>
      <c r="S11" t="n">
        <v>3</v>
      </c>
      <c r="T11" t="n">
        <v>3</v>
      </c>
      <c r="U11" t="n">
        <v>0</v>
      </c>
      <c r="V11" s="2" t="inlineStr">
        <is>
          <t>Höstlåsbräken
Månlåsbräken
Mattlummer</t>
        </is>
      </c>
      <c r="W11">
        <f>HYPERLINK("https://klasma.github.io/Logging_2584/artfynd/A 64829-2023 artfynd.xlsx", "A 64829-2023")</f>
        <v/>
      </c>
      <c r="X11">
        <f>HYPERLINK("https://klasma.github.io/Logging_2584/kartor/A 64829-2023 karta.png", "A 64829-2023")</f>
        <v/>
      </c>
      <c r="Y11">
        <f>HYPERLINK("https://klasma.github.io/Logging_2584/kartor_geotiff/A 64829-2023 georefererad karta.tif", "A 64829-2023")</f>
        <v/>
      </c>
      <c r="AA11">
        <f>HYPERLINK("https://klasma.github.io/Logging_2584/klagomål/A 64829-2023 FSC-klagomål.docx", "A 64829-2023")</f>
        <v/>
      </c>
      <c r="AB11">
        <f>HYPERLINK("https://klasma.github.io/Logging_2584/klagomålsmail/A 64829-2023 FSC-klagomål mail.docx", "A 64829-2023")</f>
        <v/>
      </c>
      <c r="AC11">
        <f>HYPERLINK("https://klasma.github.io/Logging_2584/tillsyn/A 64829-2023 tillsynsbegäran.docx", "A 64829-2023")</f>
        <v/>
      </c>
      <c r="AD11">
        <f>HYPERLINK("https://klasma.github.io/Logging_2584/tillsynsmail/A 64829-2023 tillsynsbegäran mail.docx", "A 64829-2023")</f>
        <v/>
      </c>
    </row>
    <row r="12" ht="15" customHeight="1">
      <c r="A12" t="inlineStr">
        <is>
          <t>A 22495-2024</t>
        </is>
      </c>
      <c r="B12" t="inlineStr">
        <is>
          <t>avverkningsanmälan</t>
        </is>
      </c>
      <c r="C12" t="inlineStr">
        <is>
          <t>Föryngringsavverkning</t>
        </is>
      </c>
      <c r="D12" s="1" t="n">
        <v>45447</v>
      </c>
      <c r="E12" s="1" t="n">
        <v>46250</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21183-2025</t>
        </is>
      </c>
      <c r="B13" t="inlineStr">
        <is>
          <t>avverkningsanmälan</t>
        </is>
      </c>
      <c r="C13" t="inlineStr">
        <is>
          <t>Föryngringsavverkning</t>
        </is>
      </c>
      <c r="D13" s="1" t="n">
        <v>45779</v>
      </c>
      <c r="E13" s="1" t="n">
        <v>46250</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53309-2023</t>
        </is>
      </c>
      <c r="B14" t="inlineStr">
        <is>
          <t>avverkningsanmälan</t>
        </is>
      </c>
      <c r="C14" t="inlineStr">
        <is>
          <t>Avverkning för annat ändamål</t>
        </is>
      </c>
      <c r="D14" s="1" t="n">
        <v>45229</v>
      </c>
      <c r="E14" s="1" t="n">
        <v>46250</v>
      </c>
      <c r="F14" t="inlineStr">
        <is>
          <t>NORRBOTTENS LÄN</t>
        </is>
      </c>
      <c r="G14" t="inlineStr">
        <is>
          <t>KIRUNA</t>
        </is>
      </c>
      <c r="I14" t="n">
        <v>1.6</v>
      </c>
      <c r="J14" t="n">
        <v>3</v>
      </c>
      <c r="K14" t="n">
        <v>0</v>
      </c>
      <c r="L14" t="n">
        <v>0</v>
      </c>
      <c r="M14" t="n">
        <v>0</v>
      </c>
      <c r="N14" t="n">
        <v>0</v>
      </c>
      <c r="O14" t="n">
        <v>0</v>
      </c>
      <c r="P14" t="n">
        <v>0</v>
      </c>
      <c r="Q14" t="n">
        <v>0</v>
      </c>
      <c r="R14" t="n">
        <v>0</v>
      </c>
      <c r="S14" t="n">
        <v>3</v>
      </c>
      <c r="T14" t="n">
        <v>3</v>
      </c>
      <c r="U14" t="n">
        <v>3</v>
      </c>
      <c r="V14" s="2" t="inlineStr">
        <is>
          <t>Fiskgjuse
Grönsiska
Havsörn</t>
        </is>
      </c>
      <c r="W14">
        <f>HYPERLINK("https://klasma.github.io/Logging_2584/artfynd/A 53309-2023 artfynd.xlsx", "A 53309-2023")</f>
        <v/>
      </c>
      <c r="X14">
        <f>HYPERLINK("https://klasma.github.io/Logging_2584/kartor/A 53309-2023 karta.png", "A 53309-2023")</f>
        <v/>
      </c>
      <c r="Y14">
        <f>HYPERLINK("https://klasma.github.io/Logging_2584/kartor_geotiff/A 53309-2023 georefererad karta.tif", "A 53309-2023")</f>
        <v/>
      </c>
      <c r="AA14">
        <f>HYPERLINK("https://klasma.github.io/Logging_2584/klagomål/A 53309-2023 FSC-klagomål.docx", "A 53309-2023")</f>
        <v/>
      </c>
      <c r="AB14">
        <f>HYPERLINK("https://klasma.github.io/Logging_2584/klagomålsmail/A 53309-2023 FSC-klagomål mail.docx", "A 53309-2023")</f>
        <v/>
      </c>
      <c r="AC14">
        <f>HYPERLINK("https://klasma.github.io/Logging_2584/tillsyn/A 53309-2023 tillsynsbegäran.docx", "A 53309-2023")</f>
        <v/>
      </c>
      <c r="AD14">
        <f>HYPERLINK("https://klasma.github.io/Logging_2584/tillsynsmail/A 53309-2023 tillsynsbegäran mail.docx", "A 53309-2023")</f>
        <v/>
      </c>
      <c r="AE14">
        <f>HYPERLINK("https://klasma.github.io/Logging_2584/fåglar/A 53309-2023 prioriterade fågelarter.docx", "A 53309-2023")</f>
        <v/>
      </c>
    </row>
    <row r="15" ht="15" customHeight="1">
      <c r="A15" t="inlineStr">
        <is>
          <t>A 20780-2025</t>
        </is>
      </c>
      <c r="B15" t="inlineStr">
        <is>
          <t>avverkningsanmälan</t>
        </is>
      </c>
      <c r="C15" t="inlineStr">
        <is>
          <t>Föryngringsavverkning</t>
        </is>
      </c>
      <c r="D15" s="1" t="n">
        <v>45776</v>
      </c>
      <c r="E15" s="1" t="n">
        <v>46250</v>
      </c>
      <c r="F15" t="inlineStr">
        <is>
          <t>NORRBOTTENS LÄN</t>
        </is>
      </c>
      <c r="G15" t="inlineStr">
        <is>
          <t>KIRUNA</t>
        </is>
      </c>
      <c r="H15" t="inlineStr">
        <is>
          <t>Sveaskog</t>
        </is>
      </c>
      <c r="I15" t="n">
        <v>5.7</v>
      </c>
      <c r="J15" t="n">
        <v>1</v>
      </c>
      <c r="K15" t="n">
        <v>2</v>
      </c>
      <c r="L15" t="n">
        <v>0</v>
      </c>
      <c r="M15" t="n">
        <v>1</v>
      </c>
      <c r="N15" t="n">
        <v>0</v>
      </c>
      <c r="O15" t="n">
        <v>0</v>
      </c>
      <c r="P15" t="n">
        <v>0</v>
      </c>
      <c r="Q15" t="n">
        <v>1</v>
      </c>
      <c r="R15" t="n">
        <v>1</v>
      </c>
      <c r="S15" t="n">
        <v>3</v>
      </c>
      <c r="T15" t="n">
        <v>4</v>
      </c>
      <c r="U15" t="n">
        <v>0</v>
      </c>
      <c r="V15" s="2" t="inlineStr">
        <is>
          <t>Garnlav
Lappranunkel
Stuplav</t>
        </is>
      </c>
      <c r="W15">
        <f>HYPERLINK("https://klasma.github.io/Logging_2584/artfynd/A 20780-2025 artfynd.xlsx", "A 20780-2025")</f>
        <v/>
      </c>
      <c r="X15">
        <f>HYPERLINK("https://klasma.github.io/Logging_2584/kartor/A 20780-2025 karta.png", "A 20780-2025")</f>
        <v/>
      </c>
      <c r="Y15">
        <f>HYPERLINK("https://klasma.github.io/Logging_2584/kartor_geotiff/A 20780-2025 georefererad karta.tif", "A 20780-2025")</f>
        <v/>
      </c>
      <c r="AA15">
        <f>HYPERLINK("https://klasma.github.io/Logging_2584/klagomål/A 20780-2025 FSC-klagomål.docx", "A 20780-2025")</f>
        <v/>
      </c>
      <c r="AB15">
        <f>HYPERLINK("https://klasma.github.io/Logging_2584/klagomålsmail/A 20780-2025 FSC-klagomål mail.docx", "A 20780-2025")</f>
        <v/>
      </c>
      <c r="AC15">
        <f>HYPERLINK("https://klasma.github.io/Logging_2584/tillsyn/A 20780-2025 tillsynsbegäran.docx", "A 20780-2025")</f>
        <v/>
      </c>
      <c r="AD15">
        <f>HYPERLINK("https://klasma.github.io/Logging_2584/tillsynsmail/A 20780-2025 tillsynsbegäran mail.docx", "A 20780-2025")</f>
        <v/>
      </c>
    </row>
    <row r="16" ht="15" customHeight="1">
      <c r="A16" t="inlineStr">
        <is>
          <t>A 29171-2026</t>
        </is>
      </c>
      <c r="B16" t="inlineStr">
        <is>
          <t>avverkningsanmälan</t>
        </is>
      </c>
      <c r="C16" t="inlineStr">
        <is>
          <t>Föryngringsavverkning</t>
        </is>
      </c>
      <c r="D16" s="1" t="n">
        <v>46202</v>
      </c>
      <c r="E16" s="1" t="n">
        <v>46250</v>
      </c>
      <c r="F16" t="inlineStr">
        <is>
          <t>NORRBOTTENS LÄN</t>
        </is>
      </c>
      <c r="G16" t="inlineStr">
        <is>
          <t>KIRUNA</t>
        </is>
      </c>
      <c r="I16" t="n">
        <v>4.9</v>
      </c>
      <c r="J16" t="n">
        <v>0</v>
      </c>
      <c r="K16" t="n">
        <v>0</v>
      </c>
      <c r="L16" t="n">
        <v>1</v>
      </c>
      <c r="M16" t="n">
        <v>0</v>
      </c>
      <c r="N16" t="n">
        <v>0</v>
      </c>
      <c r="O16" t="n">
        <v>0</v>
      </c>
      <c r="P16" t="n">
        <v>0</v>
      </c>
      <c r="Q16" t="n">
        <v>1</v>
      </c>
      <c r="R16" t="n">
        <v>0</v>
      </c>
      <c r="S16" t="n">
        <v>3</v>
      </c>
      <c r="T16" t="n">
        <v>3</v>
      </c>
      <c r="U16" t="n">
        <v>3</v>
      </c>
      <c r="V16" s="2" t="inlineStr">
        <is>
          <t>Vitplätt
Hultbräken
Ormbär</t>
        </is>
      </c>
      <c r="W16">
        <f>HYPERLINK("https://klasma.github.io/Logging_2584/artfynd/A 29171-2026 artfynd.xlsx", "A 29171-2026")</f>
        <v/>
      </c>
      <c r="X16">
        <f>HYPERLINK("https://klasma.github.io/Logging_2584/kartor/A 29171-2026 karta.png", "A 29171-2026")</f>
        <v/>
      </c>
      <c r="Y16">
        <f>HYPERLINK("https://klasma.github.io/Logging_2584/kartor_geotiff/A 29171-2026 georefererad karta.tif", "A 29171-2026")</f>
        <v/>
      </c>
      <c r="AA16">
        <f>HYPERLINK("https://klasma.github.io/Logging_2584/klagomål/A 29171-2026 FSC-klagomål.docx", "A 29171-2026")</f>
        <v/>
      </c>
      <c r="AB16">
        <f>HYPERLINK("https://klasma.github.io/Logging_2584/klagomålsmail/A 29171-2026 FSC-klagomål mail.docx", "A 29171-2026")</f>
        <v/>
      </c>
      <c r="AC16">
        <f>HYPERLINK("https://klasma.github.io/Logging_2584/tillsyn/A 29171-2026 tillsynsbegäran.docx", "A 29171-2026")</f>
        <v/>
      </c>
      <c r="AD16">
        <f>HYPERLINK("https://klasma.github.io/Logging_2584/tillsynsmail/A 29171-2026 tillsynsbegäran mail.docx", "A 29171-2026")</f>
        <v/>
      </c>
    </row>
    <row r="17" ht="15" customHeight="1">
      <c r="A17" t="inlineStr">
        <is>
          <t>A 53264-2023</t>
        </is>
      </c>
      <c r="B17" t="inlineStr">
        <is>
          <t>avverkningsanmälan</t>
        </is>
      </c>
      <c r="C17" t="inlineStr">
        <is>
          <t>Föryngringsavverkning</t>
        </is>
      </c>
      <c r="D17" s="1" t="n">
        <v>45222</v>
      </c>
      <c r="E17" s="1" t="n">
        <v>46250</v>
      </c>
      <c r="F17" t="inlineStr">
        <is>
          <t>NORRBOTTENS LÄN</t>
        </is>
      </c>
      <c r="G17" t="inlineStr">
        <is>
          <t>KIRUNA</t>
        </is>
      </c>
      <c r="I17" t="n">
        <v>100.3</v>
      </c>
      <c r="J17" t="n">
        <v>2</v>
      </c>
      <c r="K17" t="n">
        <v>1</v>
      </c>
      <c r="L17" t="n">
        <v>0</v>
      </c>
      <c r="M17" t="n">
        <v>0</v>
      </c>
      <c r="N17" t="n">
        <v>0</v>
      </c>
      <c r="O17" t="n">
        <v>0</v>
      </c>
      <c r="P17" t="n">
        <v>0</v>
      </c>
      <c r="Q17" t="n">
        <v>0</v>
      </c>
      <c r="R17" t="n">
        <v>0</v>
      </c>
      <c r="S17" t="n">
        <v>2</v>
      </c>
      <c r="T17" t="n">
        <v>2</v>
      </c>
      <c r="U17" t="n">
        <v>0</v>
      </c>
      <c r="V17" s="2" t="inlineStr">
        <is>
          <t>Plattlummer
Revlummer</t>
        </is>
      </c>
      <c r="W17">
        <f>HYPERLINK("https://klasma.github.io/Logging_2584/artfynd/A 53264-2023 artfynd.xlsx", "A 53264-2023")</f>
        <v/>
      </c>
      <c r="X17">
        <f>HYPERLINK("https://klasma.github.io/Logging_2584/kartor/A 53264-2023 karta.png", "A 53264-2023")</f>
        <v/>
      </c>
      <c r="Y17">
        <f>HYPERLINK("https://klasma.github.io/Logging_2584/kartor_geotiff/A 53264-2023 georefererad karta.tif", "A 53264-2023")</f>
        <v/>
      </c>
      <c r="AA17">
        <f>HYPERLINK("https://klasma.github.io/Logging_2584/klagomål/A 53264-2023 FSC-klagomål.docx", "A 53264-2023")</f>
        <v/>
      </c>
      <c r="AB17">
        <f>HYPERLINK("https://klasma.github.io/Logging_2584/klagomålsmail/A 53264-2023 FSC-klagomål mail.docx", "A 53264-2023")</f>
        <v/>
      </c>
      <c r="AC17">
        <f>HYPERLINK("https://klasma.github.io/Logging_2584/tillsyn/A 53264-2023 tillsynsbegäran.docx", "A 53264-2023")</f>
        <v/>
      </c>
      <c r="AD17">
        <f>HYPERLINK("https://klasma.github.io/Logging_2584/tillsynsmail/A 53264-2023 tillsynsbegäran mail.docx", "A 53264-2023")</f>
        <v/>
      </c>
    </row>
    <row r="18" ht="15" customHeight="1">
      <c r="A18" t="inlineStr">
        <is>
          <t>A 58860-2022</t>
        </is>
      </c>
      <c r="B18" t="inlineStr">
        <is>
          <t>avverkningsanmälan</t>
        </is>
      </c>
      <c r="C18" t="inlineStr">
        <is>
          <t>Avverkning för annat ändamål</t>
        </is>
      </c>
      <c r="D18" s="1" t="n">
        <v>44896</v>
      </c>
      <c r="E18" s="1" t="n">
        <v>46250</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46250</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17740-2023</t>
        </is>
      </c>
      <c r="B20" t="inlineStr">
        <is>
          <t>avverkningsanmälan</t>
        </is>
      </c>
      <c r="C20" t="inlineStr">
        <is>
          <t>Föryngringsavverkning</t>
        </is>
      </c>
      <c r="D20" s="1" t="n">
        <v>45035</v>
      </c>
      <c r="E20" s="1" t="n">
        <v>46250</v>
      </c>
      <c r="F20" t="inlineStr">
        <is>
          <t>NORRBOTTENS LÄN</t>
        </is>
      </c>
      <c r="G20" t="inlineStr">
        <is>
          <t>KIRUNA</t>
        </is>
      </c>
      <c r="H20" t="inlineStr">
        <is>
          <t>Allmännings- och besparingsskogar</t>
        </is>
      </c>
      <c r="I20" t="n">
        <v>20.1</v>
      </c>
      <c r="J20" t="n">
        <v>1</v>
      </c>
      <c r="K20" t="n">
        <v>0</v>
      </c>
      <c r="L20" t="n">
        <v>1</v>
      </c>
      <c r="M20" t="n">
        <v>0</v>
      </c>
      <c r="N20" t="n">
        <v>0</v>
      </c>
      <c r="O20" t="n">
        <v>0</v>
      </c>
      <c r="P20" t="n">
        <v>0</v>
      </c>
      <c r="Q20" t="n">
        <v>1</v>
      </c>
      <c r="R20" t="n">
        <v>0</v>
      </c>
      <c r="S20" t="n">
        <v>2</v>
      </c>
      <c r="T20" t="n">
        <v>2</v>
      </c>
      <c r="U20" t="n">
        <v>1</v>
      </c>
      <c r="V20" s="2" t="inlineStr">
        <is>
          <t>Knottrig blåslav
Svartvit flugsnappare</t>
        </is>
      </c>
      <c r="W20">
        <f>HYPERLINK("https://klasma.github.io/Logging_2584/artfynd/A 17740-2023 artfynd.xlsx", "A 17740-2023")</f>
        <v/>
      </c>
      <c r="X20">
        <f>HYPERLINK("https://klasma.github.io/Logging_2584/kartor/A 17740-2023 karta.png", "A 17740-2023")</f>
        <v/>
      </c>
      <c r="Y20">
        <f>HYPERLINK("https://klasma.github.io/Logging_2584/kartor_geotiff/A 17740-2023 georefererad karta.tif", "A 17740-2023")</f>
        <v/>
      </c>
      <c r="AA20">
        <f>HYPERLINK("https://klasma.github.io/Logging_2584/klagomål/A 17740-2023 FSC-klagomål.docx", "A 17740-2023")</f>
        <v/>
      </c>
      <c r="AB20">
        <f>HYPERLINK("https://klasma.github.io/Logging_2584/klagomålsmail/A 17740-2023 FSC-klagomål mail.docx", "A 17740-2023")</f>
        <v/>
      </c>
      <c r="AC20">
        <f>HYPERLINK("https://klasma.github.io/Logging_2584/tillsyn/A 17740-2023 tillsynsbegäran.docx", "A 17740-2023")</f>
        <v/>
      </c>
      <c r="AD20">
        <f>HYPERLINK("https://klasma.github.io/Logging_2584/tillsynsmail/A 17740-2023 tillsynsbegäran mail.docx", "A 17740-2023")</f>
        <v/>
      </c>
    </row>
    <row r="21" ht="15" customHeight="1">
      <c r="A21" t="inlineStr">
        <is>
          <t>A 45810-2022</t>
        </is>
      </c>
      <c r="B21" t="inlineStr">
        <is>
          <t>avverkningsanmälan</t>
        </is>
      </c>
      <c r="C21" t="inlineStr">
        <is>
          <t>Avverkning för annat ändamål</t>
        </is>
      </c>
      <c r="D21" s="1" t="n">
        <v>44844</v>
      </c>
      <c r="E21" s="1" t="n">
        <v>46250</v>
      </c>
      <c r="F21" t="inlineStr">
        <is>
          <t>NORRBOTTENS LÄN</t>
        </is>
      </c>
      <c r="G21" t="inlineStr">
        <is>
          <t>KIRUNA</t>
        </is>
      </c>
      <c r="H21" t="inlineStr">
        <is>
          <t>Övriga statliga verk och myndigheter</t>
        </is>
      </c>
      <c r="I21" t="n">
        <v>6.8</v>
      </c>
      <c r="J21" t="n">
        <v>1</v>
      </c>
      <c r="K21" t="n">
        <v>0</v>
      </c>
      <c r="L21" t="n">
        <v>0</v>
      </c>
      <c r="M21" t="n">
        <v>0</v>
      </c>
      <c r="N21" t="n">
        <v>0</v>
      </c>
      <c r="O21" t="n">
        <v>0</v>
      </c>
      <c r="P21" t="n">
        <v>0</v>
      </c>
      <c r="Q21" t="n">
        <v>0</v>
      </c>
      <c r="R21" t="n">
        <v>0</v>
      </c>
      <c r="S21" t="n">
        <v>1</v>
      </c>
      <c r="T21" t="n">
        <v>3</v>
      </c>
      <c r="U21" t="n">
        <v>0</v>
      </c>
      <c r="V21" s="2" t="inlineStr">
        <is>
          <t>Revlummer</t>
        </is>
      </c>
      <c r="W21">
        <f>HYPERLINK("https://klasma.github.io/Logging_2584/artfynd/A 45810-2022 artfynd.xlsx", "A 45810-2022")</f>
        <v/>
      </c>
      <c r="X21">
        <f>HYPERLINK("https://klasma.github.io/Logging_2584/kartor/A 45810-2022 karta.png", "A 45810-2022")</f>
        <v/>
      </c>
      <c r="Y21">
        <f>HYPERLINK("https://klasma.github.io/Logging_2584/kartor_geotiff/A 45810-2022 georefererad karta.tif", "A 45810-2022")</f>
        <v/>
      </c>
      <c r="AA21">
        <f>HYPERLINK("https://klasma.github.io/Logging_2584/klagomål/A 45810-2022 FSC-klagomål.docx", "A 45810-2022")</f>
        <v/>
      </c>
      <c r="AB21">
        <f>HYPERLINK("https://klasma.github.io/Logging_2584/klagomålsmail/A 45810-2022 FSC-klagomål mail.docx", "A 45810-2022")</f>
        <v/>
      </c>
      <c r="AC21">
        <f>HYPERLINK("https://klasma.github.io/Logging_2584/tillsyn/A 45810-2022 tillsynsbegäran.docx", "A 45810-2022")</f>
        <v/>
      </c>
      <c r="AD21">
        <f>HYPERLINK("https://klasma.github.io/Logging_2584/tillsynsmail/A 45810-2022 tillsynsbegäran mail.docx", "A 45810-2022")</f>
        <v/>
      </c>
    </row>
    <row r="22" ht="15" customHeight="1">
      <c r="A22" t="inlineStr">
        <is>
          <t>A 2660-2026</t>
        </is>
      </c>
      <c r="B22" t="inlineStr">
        <is>
          <t>avverkningsanmälan</t>
        </is>
      </c>
      <c r="C22" t="inlineStr">
        <is>
          <t>Föryngringsavverkning</t>
        </is>
      </c>
      <c r="D22" s="1" t="n">
        <v>46037</v>
      </c>
      <c r="E22" s="1" t="n">
        <v>46250</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5842-2023</t>
        </is>
      </c>
      <c r="B23" t="inlineStr">
        <is>
          <t>avverkningsanmälan</t>
        </is>
      </c>
      <c r="C23" t="inlineStr">
        <is>
          <t>Avverkning för annat ändamål</t>
        </is>
      </c>
      <c r="D23" s="1" t="n">
        <v>44958</v>
      </c>
      <c r="E23" s="1" t="n">
        <v>46250</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46250</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61066-2024</t>
        </is>
      </c>
      <c r="B25" t="inlineStr">
        <is>
          <t>avverkningsanmälan</t>
        </is>
      </c>
      <c r="C25" t="inlineStr">
        <is>
          <t>Föryngringsavverkning</t>
        </is>
      </c>
      <c r="D25" s="1" t="n">
        <v>45645</v>
      </c>
      <c r="E25" s="1" t="n">
        <v>46250</v>
      </c>
      <c r="F25" t="inlineStr">
        <is>
          <t>NORRBOTTENS LÄN</t>
        </is>
      </c>
      <c r="G25" t="inlineStr">
        <is>
          <t>KIRUNA</t>
        </is>
      </c>
      <c r="I25" t="n">
        <v>4.5</v>
      </c>
      <c r="J25" t="n">
        <v>1</v>
      </c>
      <c r="K25" t="n">
        <v>0</v>
      </c>
      <c r="L25" t="n">
        <v>0</v>
      </c>
      <c r="M25" t="n">
        <v>0</v>
      </c>
      <c r="N25" t="n">
        <v>0</v>
      </c>
      <c r="O25" t="n">
        <v>0</v>
      </c>
      <c r="P25" t="n">
        <v>0</v>
      </c>
      <c r="Q25" t="n">
        <v>0</v>
      </c>
      <c r="R25" t="n">
        <v>0</v>
      </c>
      <c r="S25" t="n">
        <v>1</v>
      </c>
      <c r="T25" t="n">
        <v>1</v>
      </c>
      <c r="U25" t="n">
        <v>1</v>
      </c>
      <c r="V25" s="2" t="inlineStr">
        <is>
          <t>Tjäder</t>
        </is>
      </c>
      <c r="W25">
        <f>HYPERLINK("https://klasma.github.io/Logging_2584/artfynd/A 61066-2024 artfynd.xlsx", "A 61066-2024")</f>
        <v/>
      </c>
      <c r="X25">
        <f>HYPERLINK("https://klasma.github.io/Logging_2584/kartor/A 61066-2024 karta.png", "A 61066-2024")</f>
        <v/>
      </c>
      <c r="Y25">
        <f>HYPERLINK("https://klasma.github.io/Logging_2584/kartor_geotiff/A 61066-2024 georefererad karta.tif", "A 61066-2024")</f>
        <v/>
      </c>
      <c r="AA25">
        <f>HYPERLINK("https://klasma.github.io/Logging_2584/klagomål/A 61066-2024 FSC-klagomål.docx", "A 61066-2024")</f>
        <v/>
      </c>
      <c r="AB25">
        <f>HYPERLINK("https://klasma.github.io/Logging_2584/klagomålsmail/A 61066-2024 FSC-klagomål mail.docx", "A 61066-2024")</f>
        <v/>
      </c>
      <c r="AC25">
        <f>HYPERLINK("https://klasma.github.io/Logging_2584/tillsyn/A 61066-2024 tillsynsbegäran.docx", "A 61066-2024")</f>
        <v/>
      </c>
      <c r="AD25">
        <f>HYPERLINK("https://klasma.github.io/Logging_2584/tillsynsmail/A 61066-2024 tillsynsbegäran mail.docx", "A 61066-2024")</f>
        <v/>
      </c>
      <c r="AE25">
        <f>HYPERLINK("https://klasma.github.io/Logging_2584/fåglar/A 61066-2024 prioriterade fågelarter.docx", "A 61066-2024")</f>
        <v/>
      </c>
    </row>
    <row r="26" ht="15" customHeight="1">
      <c r="A26" t="inlineStr">
        <is>
          <t>A 16024-2024</t>
        </is>
      </c>
      <c r="B26" t="inlineStr">
        <is>
          <t>avverkningsanmälan</t>
        </is>
      </c>
      <c r="C26" t="inlineStr">
        <is>
          <t>Föryngringsavverkning</t>
        </is>
      </c>
      <c r="D26" s="1" t="n">
        <v>45405</v>
      </c>
      <c r="E26" s="1" t="n">
        <v>46250</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60064-2023</t>
        </is>
      </c>
      <c r="B27" t="inlineStr">
        <is>
          <t>avverkningsanmälan</t>
        </is>
      </c>
      <c r="C27" t="inlineStr">
        <is>
          <t>Föryngringsavverkning</t>
        </is>
      </c>
      <c r="D27" s="1" t="n">
        <v>45258</v>
      </c>
      <c r="E27" s="1" t="n">
        <v>46250</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45205-2022</t>
        </is>
      </c>
      <c r="B28" t="inlineStr">
        <is>
          <t>avverkningsanmälan</t>
        </is>
      </c>
      <c r="C28" t="inlineStr">
        <is>
          <t>Avverkning för annat ändamål</t>
        </is>
      </c>
      <c r="D28" s="1" t="n">
        <v>44840</v>
      </c>
      <c r="E28" s="1" t="n">
        <v>46250</v>
      </c>
      <c r="F28" t="inlineStr">
        <is>
          <t>NORRBOTTENS LÄN</t>
        </is>
      </c>
      <c r="G28" t="inlineStr">
        <is>
          <t>KIRUNA</t>
        </is>
      </c>
      <c r="H28" t="inlineStr">
        <is>
          <t>Övriga statliga verk och myndigheter</t>
        </is>
      </c>
      <c r="I28" t="n">
        <v>1.5</v>
      </c>
      <c r="J28" t="n">
        <v>0</v>
      </c>
      <c r="K28" t="n">
        <v>0</v>
      </c>
      <c r="L28" t="n">
        <v>0</v>
      </c>
      <c r="M28" t="n">
        <v>0</v>
      </c>
      <c r="N28" t="n">
        <v>0</v>
      </c>
      <c r="O28" t="n">
        <v>0</v>
      </c>
      <c r="P28" t="n">
        <v>0</v>
      </c>
      <c r="Q28" t="n">
        <v>0</v>
      </c>
      <c r="R28" t="n">
        <v>0</v>
      </c>
      <c r="S28" t="n">
        <v>0</v>
      </c>
      <c r="T28" t="n">
        <v>0</v>
      </c>
      <c r="U28" t="n">
        <v>0</v>
      </c>
      <c r="V28" s="2" t="inlineStr"/>
    </row>
    <row r="29" ht="15" customHeight="1">
      <c r="A29" t="inlineStr">
        <is>
          <t>A 53752-2022</t>
        </is>
      </c>
      <c r="B29" t="inlineStr">
        <is>
          <t>avverkningsanmälan</t>
        </is>
      </c>
      <c r="C29" t="inlineStr">
        <is>
          <t>Föryngringsavverkning</t>
        </is>
      </c>
      <c r="D29" s="1" t="n">
        <v>44875</v>
      </c>
      <c r="E29" s="1" t="n">
        <v>46250</v>
      </c>
      <c r="F29" t="inlineStr">
        <is>
          <t>NORRBOTTENS LÄN</t>
        </is>
      </c>
      <c r="G29" t="inlineStr">
        <is>
          <t>KIRUNA</t>
        </is>
      </c>
      <c r="H29" t="inlineStr">
        <is>
          <t>SCA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10546-2022</t>
        </is>
      </c>
      <c r="B30" t="inlineStr">
        <is>
          <t>avverkningsanmälan</t>
        </is>
      </c>
      <c r="C30" t="inlineStr">
        <is>
          <t>Föryngringsavverkning</t>
        </is>
      </c>
      <c r="D30" s="1" t="n">
        <v>44623</v>
      </c>
      <c r="E30" s="1" t="n">
        <v>46250</v>
      </c>
      <c r="F30" t="inlineStr">
        <is>
          <t>NORRBOTTENS LÄN</t>
        </is>
      </c>
      <c r="G30" t="inlineStr">
        <is>
          <t>KIRUNA</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10545-2022</t>
        </is>
      </c>
      <c r="B31" t="inlineStr">
        <is>
          <t>avverkningsanmälan</t>
        </is>
      </c>
      <c r="C31" t="inlineStr">
        <is>
          <t>Föryngringsavverkning</t>
        </is>
      </c>
      <c r="D31" s="1" t="n">
        <v>44623</v>
      </c>
      <c r="E31" s="1" t="n">
        <v>46250</v>
      </c>
      <c r="F31" t="inlineStr">
        <is>
          <t>NORRBOTTENS LÄN</t>
        </is>
      </c>
      <c r="G31" t="inlineStr">
        <is>
          <t>KIRUNA</t>
        </is>
      </c>
      <c r="I31" t="n">
        <v>4.6</v>
      </c>
      <c r="J31" t="n">
        <v>0</v>
      </c>
      <c r="K31" t="n">
        <v>0</v>
      </c>
      <c r="L31" t="n">
        <v>0</v>
      </c>
      <c r="M31" t="n">
        <v>0</v>
      </c>
      <c r="N31" t="n">
        <v>0</v>
      </c>
      <c r="O31" t="n">
        <v>0</v>
      </c>
      <c r="P31" t="n">
        <v>0</v>
      </c>
      <c r="Q31" t="n">
        <v>0</v>
      </c>
      <c r="R31" t="n">
        <v>0</v>
      </c>
      <c r="S31" t="n">
        <v>0</v>
      </c>
      <c r="T31" t="n">
        <v>0</v>
      </c>
      <c r="U31" t="n">
        <v>0</v>
      </c>
      <c r="V31" s="2" t="inlineStr"/>
    </row>
    <row r="32" ht="15" customHeight="1">
      <c r="A32" t="inlineStr">
        <is>
          <t>A 39006-2023</t>
        </is>
      </c>
      <c r="B32" t="inlineStr">
        <is>
          <t>avverkningsanmälan</t>
        </is>
      </c>
      <c r="C32" t="inlineStr">
        <is>
          <t>Avverkning för annat ändamål</t>
        </is>
      </c>
      <c r="D32" s="1" t="n">
        <v>45162</v>
      </c>
      <c r="E32" s="1" t="n">
        <v>46250</v>
      </c>
      <c r="F32" t="inlineStr">
        <is>
          <t>NORRBOTTENS LÄN</t>
        </is>
      </c>
      <c r="G32" t="inlineStr">
        <is>
          <t>KIRUNA</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39271-2023</t>
        </is>
      </c>
      <c r="B33" t="inlineStr">
        <is>
          <t>avverkningsanmälan</t>
        </is>
      </c>
      <c r="C33" t="inlineStr">
        <is>
          <t>Föryngringsavverkning</t>
        </is>
      </c>
      <c r="D33" s="1" t="n">
        <v>45162</v>
      </c>
      <c r="E33" s="1" t="n">
        <v>46250</v>
      </c>
      <c r="F33" t="inlineStr">
        <is>
          <t>NORRBOTTENS LÄN</t>
        </is>
      </c>
      <c r="G33" t="inlineStr">
        <is>
          <t>KIRUNA</t>
        </is>
      </c>
      <c r="I33" t="n">
        <v>51.9</v>
      </c>
      <c r="J33" t="n">
        <v>0</v>
      </c>
      <c r="K33" t="n">
        <v>0</v>
      </c>
      <c r="L33" t="n">
        <v>0</v>
      </c>
      <c r="M33" t="n">
        <v>0</v>
      </c>
      <c r="N33" t="n">
        <v>0</v>
      </c>
      <c r="O33" t="n">
        <v>0</v>
      </c>
      <c r="P33" t="n">
        <v>0</v>
      </c>
      <c r="Q33" t="n">
        <v>0</v>
      </c>
      <c r="R33" t="n">
        <v>0</v>
      </c>
      <c r="S33" t="n">
        <v>0</v>
      </c>
      <c r="T33" t="n">
        <v>0</v>
      </c>
      <c r="U33" t="n">
        <v>0</v>
      </c>
      <c r="V33" s="2" t="inlineStr"/>
    </row>
    <row r="34" ht="15" customHeight="1">
      <c r="A34" t="inlineStr">
        <is>
          <t>A 22494-2024</t>
        </is>
      </c>
      <c r="B34" t="inlineStr">
        <is>
          <t>avverkningsanmälan</t>
        </is>
      </c>
      <c r="C34" t="inlineStr">
        <is>
          <t>Föryngringsavverkning</t>
        </is>
      </c>
      <c r="D34" s="1" t="n">
        <v>45447</v>
      </c>
      <c r="E34" s="1" t="n">
        <v>46250</v>
      </c>
      <c r="F34" t="inlineStr">
        <is>
          <t>NORRBOTTENS LÄN</t>
        </is>
      </c>
      <c r="G34" t="inlineStr">
        <is>
          <t>KIRUNA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46250</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5411-2024</t>
        </is>
      </c>
      <c r="B36" t="inlineStr">
        <is>
          <t>avverkningsanmälan</t>
        </is>
      </c>
      <c r="C36" t="inlineStr">
        <is>
          <t>Föryngringsavverkning</t>
        </is>
      </c>
      <c r="D36" s="1" t="n">
        <v>45331</v>
      </c>
      <c r="E36" s="1" t="n">
        <v>46250</v>
      </c>
      <c r="F36" t="inlineStr">
        <is>
          <t>NORRBOTTENS LÄN</t>
        </is>
      </c>
      <c r="G36" t="inlineStr">
        <is>
          <t>KIRUNA</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46250</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46250</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93-2024</t>
        </is>
      </c>
      <c r="B39" t="inlineStr">
        <is>
          <t>avverkningsanmälan</t>
        </is>
      </c>
      <c r="C39" t="inlineStr">
        <is>
          <t>Avverkning för annat ändamål</t>
        </is>
      </c>
      <c r="D39" s="1" t="n">
        <v>45293</v>
      </c>
      <c r="E39" s="1" t="n">
        <v>46250</v>
      </c>
      <c r="F39" t="inlineStr">
        <is>
          <t>NORRBOTTENS LÄN</t>
        </is>
      </c>
      <c r="G39" t="inlineStr">
        <is>
          <t>KIRUNA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22504-2024</t>
        </is>
      </c>
      <c r="B40" t="inlineStr">
        <is>
          <t>avverkningsanmälan</t>
        </is>
      </c>
      <c r="C40" t="inlineStr">
        <is>
          <t>Föryngringsavverkning</t>
        </is>
      </c>
      <c r="D40" s="1" t="n">
        <v>45447</v>
      </c>
      <c r="E40" s="1" t="n">
        <v>46250</v>
      </c>
      <c r="F40" t="inlineStr">
        <is>
          <t>NORRBOTTENS LÄN</t>
        </is>
      </c>
      <c r="G40" t="inlineStr">
        <is>
          <t>KIRUNA</t>
        </is>
      </c>
      <c r="I40" t="n">
        <v>15.6</v>
      </c>
      <c r="J40" t="n">
        <v>0</v>
      </c>
      <c r="K40" t="n">
        <v>0</v>
      </c>
      <c r="L40" t="n">
        <v>0</v>
      </c>
      <c r="M40" t="n">
        <v>0</v>
      </c>
      <c r="N40" t="n">
        <v>0</v>
      </c>
      <c r="O40" t="n">
        <v>0</v>
      </c>
      <c r="P40" t="n">
        <v>0</v>
      </c>
      <c r="Q40" t="n">
        <v>0</v>
      </c>
      <c r="R40" t="n">
        <v>0</v>
      </c>
      <c r="S40" t="n">
        <v>0</v>
      </c>
      <c r="T40" t="n">
        <v>0</v>
      </c>
      <c r="U40" t="n">
        <v>0</v>
      </c>
      <c r="V40" s="2" t="inlineStr"/>
    </row>
    <row r="41" ht="15" customHeight="1">
      <c r="A41" t="inlineStr">
        <is>
          <t>A 50338-2025</t>
        </is>
      </c>
      <c r="B41" t="inlineStr">
        <is>
          <t>avverkningsanmälan</t>
        </is>
      </c>
      <c r="C41" t="inlineStr">
        <is>
          <t>Föryngringsavverkning</t>
        </is>
      </c>
      <c r="D41" s="1" t="n">
        <v>45944</v>
      </c>
      <c r="E41" s="1" t="n">
        <v>46250</v>
      </c>
      <c r="F41" t="inlineStr">
        <is>
          <t>NORRBOTTENS LÄN</t>
        </is>
      </c>
      <c r="G41" t="inlineStr">
        <is>
          <t>KIRUNA</t>
        </is>
      </c>
      <c r="H41" t="inlineStr">
        <is>
          <t>SCA</t>
        </is>
      </c>
      <c r="I41" t="n">
        <v>22.6</v>
      </c>
      <c r="J41" t="n">
        <v>0</v>
      </c>
      <c r="K41" t="n">
        <v>0</v>
      </c>
      <c r="L41" t="n">
        <v>0</v>
      </c>
      <c r="M41" t="n">
        <v>0</v>
      </c>
      <c r="N41" t="n">
        <v>0</v>
      </c>
      <c r="O41" t="n">
        <v>0</v>
      </c>
      <c r="P41" t="n">
        <v>0</v>
      </c>
      <c r="Q41" t="n">
        <v>0</v>
      </c>
      <c r="R41" t="n">
        <v>0</v>
      </c>
      <c r="S41" t="n">
        <v>0</v>
      </c>
      <c r="T41" t="n">
        <v>0</v>
      </c>
      <c r="U41" t="n">
        <v>0</v>
      </c>
      <c r="V41" s="2" t="inlineStr"/>
    </row>
    <row r="42" ht="15" customHeight="1">
      <c r="A42" t="inlineStr">
        <is>
          <t>A 5476-2024</t>
        </is>
      </c>
      <c r="B42" t="inlineStr">
        <is>
          <t>avverkningsanmälan</t>
        </is>
      </c>
      <c r="C42" t="inlineStr">
        <is>
          <t>Föryngringsavverkning</t>
        </is>
      </c>
      <c r="D42" s="1" t="n">
        <v>45333</v>
      </c>
      <c r="E42" s="1" t="n">
        <v>46250</v>
      </c>
      <c r="F42" t="inlineStr">
        <is>
          <t>NORRBOTTENS LÄN</t>
        </is>
      </c>
      <c r="G42" t="inlineStr">
        <is>
          <t>KIRUNA</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13405-2026</t>
        </is>
      </c>
      <c r="B43" t="inlineStr">
        <is>
          <t>avverkningsanmälan</t>
        </is>
      </c>
      <c r="C43" t="inlineStr">
        <is>
          <t>Föryngringsavverkning</t>
        </is>
      </c>
      <c r="D43" s="1" t="n">
        <v>46094</v>
      </c>
      <c r="E43" s="1" t="n">
        <v>46250</v>
      </c>
      <c r="F43" t="inlineStr">
        <is>
          <t>NORRBOTTENS LÄN</t>
        </is>
      </c>
      <c r="G43" t="inlineStr">
        <is>
          <t>KIRUNA</t>
        </is>
      </c>
      <c r="I43" t="n">
        <v>24.5</v>
      </c>
      <c r="J43" t="n">
        <v>0</v>
      </c>
      <c r="K43" t="n">
        <v>0</v>
      </c>
      <c r="L43" t="n">
        <v>0</v>
      </c>
      <c r="M43" t="n">
        <v>0</v>
      </c>
      <c r="N43" t="n">
        <v>0</v>
      </c>
      <c r="O43" t="n">
        <v>0</v>
      </c>
      <c r="P43" t="n">
        <v>0</v>
      </c>
      <c r="Q43" t="n">
        <v>0</v>
      </c>
      <c r="R43" t="n">
        <v>0</v>
      </c>
      <c r="S43" t="n">
        <v>0</v>
      </c>
      <c r="T43" t="n">
        <v>0</v>
      </c>
      <c r="U43" t="n">
        <v>0</v>
      </c>
      <c r="V43" s="2" t="inlineStr"/>
    </row>
    <row r="44" ht="15" customHeight="1">
      <c r="A44" t="inlineStr">
        <is>
          <t>A 21184-2025</t>
        </is>
      </c>
      <c r="B44" t="inlineStr">
        <is>
          <t>avverkningsanmälan</t>
        </is>
      </c>
      <c r="C44" t="inlineStr">
        <is>
          <t>Föryngringsavverkning</t>
        </is>
      </c>
      <c r="D44" s="1" t="n">
        <v>45777</v>
      </c>
      <c r="E44" s="1" t="n">
        <v>46250</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46250</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16197-2026</t>
        </is>
      </c>
      <c r="B46" t="inlineStr">
        <is>
          <t>avverkningsanmälan</t>
        </is>
      </c>
      <c r="C46" t="inlineStr">
        <is>
          <t>Avverkning för annat ändamål</t>
        </is>
      </c>
      <c r="D46" s="1" t="n">
        <v>46108</v>
      </c>
      <c r="E46" s="1" t="n">
        <v>46250</v>
      </c>
      <c r="F46" t="inlineStr">
        <is>
          <t>NORRBOTTENS LÄN</t>
        </is>
      </c>
      <c r="G46" t="inlineStr">
        <is>
          <t>KIRUNA</t>
        </is>
      </c>
      <c r="H46" t="inlineStr">
        <is>
          <t>Övriga statliga verk och myndigheter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18721-2024</t>
        </is>
      </c>
      <c r="B47" t="inlineStr">
        <is>
          <t>avverkningsanmälan</t>
        </is>
      </c>
      <c r="C47" t="inlineStr">
        <is>
          <t>Föryngringsavverkning</t>
        </is>
      </c>
      <c r="D47" s="1" t="n">
        <v>45426</v>
      </c>
      <c r="E47" s="1" t="n">
        <v>46250</v>
      </c>
      <c r="F47" t="inlineStr">
        <is>
          <t>NORRBOTTENS LÄN</t>
        </is>
      </c>
      <c r="G47" t="inlineStr">
        <is>
          <t>KIRUNA</t>
        </is>
      </c>
      <c r="I47" t="n">
        <v>62.1</v>
      </c>
      <c r="J47" t="n">
        <v>0</v>
      </c>
      <c r="K47" t="n">
        <v>0</v>
      </c>
      <c r="L47" t="n">
        <v>0</v>
      </c>
      <c r="M47" t="n">
        <v>0</v>
      </c>
      <c r="N47" t="n">
        <v>0</v>
      </c>
      <c r="O47" t="n">
        <v>0</v>
      </c>
      <c r="P47" t="n">
        <v>0</v>
      </c>
      <c r="Q47" t="n">
        <v>0</v>
      </c>
      <c r="R47" t="n">
        <v>0</v>
      </c>
      <c r="S47" t="n">
        <v>0</v>
      </c>
      <c r="T47" t="n">
        <v>0</v>
      </c>
      <c r="U47" t="n">
        <v>0</v>
      </c>
      <c r="V47" s="2" t="inlineStr"/>
    </row>
    <row r="48" ht="15" customHeight="1">
      <c r="A48" t="inlineStr">
        <is>
          <t>A 9068-2023</t>
        </is>
      </c>
      <c r="B48" t="inlineStr">
        <is>
          <t>avverkningsanmälan</t>
        </is>
      </c>
      <c r="C48" t="inlineStr">
        <is>
          <t>Föryngringsavverkning</t>
        </is>
      </c>
      <c r="D48" s="1" t="n">
        <v>44979</v>
      </c>
      <c r="E48" s="1" t="n">
        <v>46250</v>
      </c>
      <c r="F48" t="inlineStr">
        <is>
          <t>NORRBOTTENS LÄN</t>
        </is>
      </c>
      <c r="G48" t="inlineStr">
        <is>
          <t>KIRUNA</t>
        </is>
      </c>
      <c r="H48" t="inlineStr">
        <is>
          <t>SCA</t>
        </is>
      </c>
      <c r="I48" t="n">
        <v>4.6</v>
      </c>
      <c r="J48" t="n">
        <v>0</v>
      </c>
      <c r="K48" t="n">
        <v>0</v>
      </c>
      <c r="L48" t="n">
        <v>0</v>
      </c>
      <c r="M48" t="n">
        <v>0</v>
      </c>
      <c r="N48" t="n">
        <v>0</v>
      </c>
      <c r="O48" t="n">
        <v>0</v>
      </c>
      <c r="P48" t="n">
        <v>0</v>
      </c>
      <c r="Q48" t="n">
        <v>0</v>
      </c>
      <c r="R48" t="n">
        <v>0</v>
      </c>
      <c r="S48" t="n">
        <v>0</v>
      </c>
      <c r="T48" t="n">
        <v>0</v>
      </c>
      <c r="U48" t="n">
        <v>0</v>
      </c>
      <c r="V48" s="2" t="inlineStr"/>
    </row>
    <row r="49" ht="15" customHeight="1">
      <c r="A49" t="inlineStr">
        <is>
          <t>A 18388-2026</t>
        </is>
      </c>
      <c r="B49" t="inlineStr">
        <is>
          <t>avverkningsanmälan</t>
        </is>
      </c>
      <c r="C49" t="inlineStr">
        <is>
          <t>Föryngringsavverkning</t>
        </is>
      </c>
      <c r="D49" s="1" t="n">
        <v>46126</v>
      </c>
      <c r="E49" s="1" t="n">
        <v>46250</v>
      </c>
      <c r="F49" t="inlineStr">
        <is>
          <t>NORRBOTTENS LÄN</t>
        </is>
      </c>
      <c r="G49" t="inlineStr">
        <is>
          <t>KIRUNA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12937-2026</t>
        </is>
      </c>
      <c r="B50" t="inlineStr">
        <is>
          <t>avverkningsanmälan</t>
        </is>
      </c>
      <c r="C50" t="inlineStr">
        <is>
          <t>Föryngringsavverkning</t>
        </is>
      </c>
      <c r="D50" s="1" t="n">
        <v>46092</v>
      </c>
      <c r="E50" s="1" t="n">
        <v>46250</v>
      </c>
      <c r="F50" t="inlineStr">
        <is>
          <t>NORRBOTTENS LÄN</t>
        </is>
      </c>
      <c r="G50" t="inlineStr">
        <is>
          <t>KIRUNA</t>
        </is>
      </c>
      <c r="I50" t="n">
        <v>37.2</v>
      </c>
      <c r="J50" t="n">
        <v>0</v>
      </c>
      <c r="K50" t="n">
        <v>0</v>
      </c>
      <c r="L50" t="n">
        <v>0</v>
      </c>
      <c r="M50" t="n">
        <v>0</v>
      </c>
      <c r="N50" t="n">
        <v>0</v>
      </c>
      <c r="O50" t="n">
        <v>0</v>
      </c>
      <c r="P50" t="n">
        <v>0</v>
      </c>
      <c r="Q50" t="n">
        <v>0</v>
      </c>
      <c r="R50" t="n">
        <v>0</v>
      </c>
      <c r="S50" t="n">
        <v>0</v>
      </c>
      <c r="T50" t="n">
        <v>0</v>
      </c>
      <c r="U50" t="n">
        <v>0</v>
      </c>
      <c r="V50" s="2" t="inlineStr"/>
    </row>
    <row r="51" ht="15" customHeight="1">
      <c r="A51" t="inlineStr">
        <is>
          <t>A 12984-2026</t>
        </is>
      </c>
      <c r="B51" t="inlineStr">
        <is>
          <t>avverkningsanmälan</t>
        </is>
      </c>
      <c r="C51" t="inlineStr">
        <is>
          <t>Föryngringsavverkning</t>
        </is>
      </c>
      <c r="D51" s="1" t="n">
        <v>46092</v>
      </c>
      <c r="E51" s="1" t="n">
        <v>46250</v>
      </c>
      <c r="F51" t="inlineStr">
        <is>
          <t>NORRBOTTENS LÄN</t>
        </is>
      </c>
      <c r="G51" t="inlineStr">
        <is>
          <t>KIRUNA</t>
        </is>
      </c>
      <c r="I51" t="n">
        <v>18.2</v>
      </c>
      <c r="J51" t="n">
        <v>0</v>
      </c>
      <c r="K51" t="n">
        <v>0</v>
      </c>
      <c r="L51" t="n">
        <v>0</v>
      </c>
      <c r="M51" t="n">
        <v>0</v>
      </c>
      <c r="N51" t="n">
        <v>0</v>
      </c>
      <c r="O51" t="n">
        <v>0</v>
      </c>
      <c r="P51" t="n">
        <v>0</v>
      </c>
      <c r="Q51" t="n">
        <v>0</v>
      </c>
      <c r="R51" t="n">
        <v>0</v>
      </c>
      <c r="S51" t="n">
        <v>0</v>
      </c>
      <c r="T51" t="n">
        <v>0</v>
      </c>
      <c r="U51" t="n">
        <v>0</v>
      </c>
      <c r="V51" s="2" t="inlineStr"/>
    </row>
    <row r="52" ht="15" customHeight="1">
      <c r="A52" t="inlineStr">
        <is>
          <t>A 12969-2026</t>
        </is>
      </c>
      <c r="B52" t="inlineStr">
        <is>
          <t>avverkningsanmälan</t>
        </is>
      </c>
      <c r="C52" t="inlineStr">
        <is>
          <t>Föryngringsavverkning</t>
        </is>
      </c>
      <c r="D52" s="1" t="n">
        <v>46092</v>
      </c>
      <c r="E52" s="1" t="n">
        <v>46250</v>
      </c>
      <c r="F52" t="inlineStr">
        <is>
          <t>NORRBOTTENS LÄN</t>
        </is>
      </c>
      <c r="G52" t="inlineStr">
        <is>
          <t>KIRUNA</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23469-2022</t>
        </is>
      </c>
      <c r="B53" t="inlineStr">
        <is>
          <t>avverkningsanmälan</t>
        </is>
      </c>
      <c r="C53" t="inlineStr">
        <is>
          <t>Föryngringsavverkning</t>
        </is>
      </c>
      <c r="D53" s="1" t="n">
        <v>44721</v>
      </c>
      <c r="E53" s="1" t="n">
        <v>46250</v>
      </c>
      <c r="F53" t="inlineStr">
        <is>
          <t>NORRBOTTENS LÄN</t>
        </is>
      </c>
      <c r="G53" t="inlineStr">
        <is>
          <t>KIRUNA</t>
        </is>
      </c>
      <c r="I53" t="n">
        <v>11.8</v>
      </c>
      <c r="J53" t="n">
        <v>0</v>
      </c>
      <c r="K53" t="n">
        <v>0</v>
      </c>
      <c r="L53" t="n">
        <v>0</v>
      </c>
      <c r="M53" t="n">
        <v>0</v>
      </c>
      <c r="N53" t="n">
        <v>0</v>
      </c>
      <c r="O53" t="n">
        <v>0</v>
      </c>
      <c r="P53" t="n">
        <v>0</v>
      </c>
      <c r="Q53" t="n">
        <v>0</v>
      </c>
      <c r="R53" t="n">
        <v>0</v>
      </c>
      <c r="S53" t="n">
        <v>0</v>
      </c>
      <c r="T53" t="n">
        <v>0</v>
      </c>
      <c r="U53" t="n">
        <v>0</v>
      </c>
      <c r="V53" s="2" t="inlineStr"/>
    </row>
    <row r="54" ht="15" customHeight="1">
      <c r="A54" t="inlineStr">
        <is>
          <t>A 62452-2022</t>
        </is>
      </c>
      <c r="B54" t="inlineStr">
        <is>
          <t>avverkningsanmälan</t>
        </is>
      </c>
      <c r="C54" t="inlineStr">
        <is>
          <t>Föryngringsavverkning</t>
        </is>
      </c>
      <c r="D54" s="1" t="n">
        <v>44916</v>
      </c>
      <c r="E54" s="1" t="n">
        <v>46250</v>
      </c>
      <c r="F54" t="inlineStr">
        <is>
          <t>NORRBOTTENS LÄN</t>
        </is>
      </c>
      <c r="G54" t="inlineStr">
        <is>
          <t>KIRUNA</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62460-2022</t>
        </is>
      </c>
      <c r="B55" t="inlineStr">
        <is>
          <t>avverkningsanmälan</t>
        </is>
      </c>
      <c r="C55" t="inlineStr">
        <is>
          <t>Föryngringsavverkning</t>
        </is>
      </c>
      <c r="D55" s="1" t="n">
        <v>44916</v>
      </c>
      <c r="E55" s="1" t="n">
        <v>46250</v>
      </c>
      <c r="F55" t="inlineStr">
        <is>
          <t>NORRBOTTENS LÄN</t>
        </is>
      </c>
      <c r="G55" t="inlineStr">
        <is>
          <t>KIRUNA</t>
        </is>
      </c>
      <c r="I55" t="n">
        <v>13.4</v>
      </c>
      <c r="J55" t="n">
        <v>0</v>
      </c>
      <c r="K55" t="n">
        <v>0</v>
      </c>
      <c r="L55" t="n">
        <v>0</v>
      </c>
      <c r="M55" t="n">
        <v>0</v>
      </c>
      <c r="N55" t="n">
        <v>0</v>
      </c>
      <c r="O55" t="n">
        <v>0</v>
      </c>
      <c r="P55" t="n">
        <v>0</v>
      </c>
      <c r="Q55" t="n">
        <v>0</v>
      </c>
      <c r="R55" t="n">
        <v>0</v>
      </c>
      <c r="S55" t="n">
        <v>0</v>
      </c>
      <c r="T55" t="n">
        <v>0</v>
      </c>
      <c r="U55" t="n">
        <v>0</v>
      </c>
      <c r="V55" s="2" t="inlineStr"/>
    </row>
    <row r="56" ht="15" customHeight="1">
      <c r="A56" t="inlineStr">
        <is>
          <t>A 49704-2024</t>
        </is>
      </c>
      <c r="B56" t="inlineStr">
        <is>
          <t>avverkningsanmälan</t>
        </is>
      </c>
      <c r="C56" t="inlineStr">
        <is>
          <t>Föryngringsavverkning</t>
        </is>
      </c>
      <c r="D56" s="1" t="n">
        <v>45596</v>
      </c>
      <c r="E56" s="1" t="n">
        <v>46250</v>
      </c>
      <c r="F56" t="inlineStr">
        <is>
          <t>NORRBOTTENS LÄN</t>
        </is>
      </c>
      <c r="G56" t="inlineStr">
        <is>
          <t>KIRUNA</t>
        </is>
      </c>
      <c r="I56" t="n">
        <v>17.4</v>
      </c>
      <c r="J56" t="n">
        <v>0</v>
      </c>
      <c r="K56" t="n">
        <v>0</v>
      </c>
      <c r="L56" t="n">
        <v>0</v>
      </c>
      <c r="M56" t="n">
        <v>0</v>
      </c>
      <c r="N56" t="n">
        <v>0</v>
      </c>
      <c r="O56" t="n">
        <v>0</v>
      </c>
      <c r="P56" t="n">
        <v>0</v>
      </c>
      <c r="Q56" t="n">
        <v>0</v>
      </c>
      <c r="R56" t="n">
        <v>0</v>
      </c>
      <c r="S56" t="n">
        <v>0</v>
      </c>
      <c r="T56" t="n">
        <v>0</v>
      </c>
      <c r="U56" t="n">
        <v>0</v>
      </c>
      <c r="V56" s="2" t="inlineStr"/>
    </row>
    <row r="57" ht="15" customHeight="1">
      <c r="A57" t="inlineStr">
        <is>
          <t>A 22491-2024</t>
        </is>
      </c>
      <c r="B57" t="inlineStr">
        <is>
          <t>avverkningsanmälan</t>
        </is>
      </c>
      <c r="C57" t="inlineStr">
        <is>
          <t>Föryngringsavverkning</t>
        </is>
      </c>
      <c r="D57" s="1" t="n">
        <v>45447</v>
      </c>
      <c r="E57" s="1" t="n">
        <v>46250</v>
      </c>
      <c r="F57" t="inlineStr">
        <is>
          <t>NORRBOTTENS LÄN</t>
        </is>
      </c>
      <c r="G57" t="inlineStr">
        <is>
          <t>KIRUNA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46250</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36939-2022</t>
        </is>
      </c>
      <c r="B59" t="inlineStr">
        <is>
          <t>avverkningsanmälan</t>
        </is>
      </c>
      <c r="C59" t="inlineStr">
        <is>
          <t>Avverkning för annat ändamål</t>
        </is>
      </c>
      <c r="D59" s="1" t="n">
        <v>44805</v>
      </c>
      <c r="E59" s="1" t="n">
        <v>46250</v>
      </c>
      <c r="F59" t="inlineStr">
        <is>
          <t>NORRBOTTENS LÄN</t>
        </is>
      </c>
      <c r="G59" t="inlineStr">
        <is>
          <t>KIRUNA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18737-2023</t>
        </is>
      </c>
      <c r="B60" t="inlineStr">
        <is>
          <t>avverkningsanmälan</t>
        </is>
      </c>
      <c r="C60" t="inlineStr">
        <is>
          <t>Avverkning för annat ändamål</t>
        </is>
      </c>
      <c r="D60" s="1" t="n">
        <v>45042</v>
      </c>
      <c r="E60" s="1" t="n">
        <v>46250</v>
      </c>
      <c r="F60" t="inlineStr">
        <is>
          <t>NORRBOTTENS LÄN</t>
        </is>
      </c>
      <c r="G60" t="inlineStr">
        <is>
          <t>KIRUNA</t>
        </is>
      </c>
      <c r="H60" t="inlineStr">
        <is>
          <t>Sveaskog</t>
        </is>
      </c>
      <c r="I60" t="n">
        <v>10.7</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46250</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46250</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34693-2022</t>
        </is>
      </c>
      <c r="B63" t="inlineStr">
        <is>
          <t>avverkningsanmälan</t>
        </is>
      </c>
      <c r="C63" t="inlineStr">
        <is>
          <t>Föryngringsavverkning</t>
        </is>
      </c>
      <c r="D63" s="1" t="n">
        <v>44795</v>
      </c>
      <c r="E63" s="1" t="n">
        <v>46250</v>
      </c>
      <c r="F63" t="inlineStr">
        <is>
          <t>NORRBOTTENS LÄN</t>
        </is>
      </c>
      <c r="G63" t="inlineStr">
        <is>
          <t>KIRUNA</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5533-2024</t>
        </is>
      </c>
      <c r="B64" t="inlineStr">
        <is>
          <t>avverkningsanmälan</t>
        </is>
      </c>
      <c r="C64" t="inlineStr">
        <is>
          <t>Avverkning för annat ändamål</t>
        </is>
      </c>
      <c r="D64" s="1" t="n">
        <v>45334</v>
      </c>
      <c r="E64" s="1" t="n">
        <v>46250</v>
      </c>
      <c r="F64" t="inlineStr">
        <is>
          <t>NORRBOTTENS LÄN</t>
        </is>
      </c>
      <c r="G64" t="inlineStr">
        <is>
          <t>KIRUNA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56168-2023</t>
        </is>
      </c>
      <c r="B65" t="inlineStr">
        <is>
          <t>avverkningsanmälan</t>
        </is>
      </c>
      <c r="C65" t="inlineStr">
        <is>
          <t>Avverkning för annat ändamål</t>
        </is>
      </c>
      <c r="D65" s="1" t="n">
        <v>45236</v>
      </c>
      <c r="E65" s="1" t="n">
        <v>46250</v>
      </c>
      <c r="F65" t="inlineStr">
        <is>
          <t>NORRBOTTENS LÄN</t>
        </is>
      </c>
      <c r="G65" t="inlineStr">
        <is>
          <t>KIRUNA</t>
        </is>
      </c>
      <c r="H65" t="inlineStr">
        <is>
          <t>Sveaskog</t>
        </is>
      </c>
      <c r="I65" t="n">
        <v>6.6</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46250</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41127-2023</t>
        </is>
      </c>
      <c r="B67" t="inlineStr">
        <is>
          <t>avverkningsanmälan</t>
        </is>
      </c>
      <c r="C67" t="inlineStr">
        <is>
          <t>Avverkning för annat ändamål</t>
        </is>
      </c>
      <c r="D67" s="1" t="n">
        <v>45173</v>
      </c>
      <c r="E67" s="1" t="n">
        <v>46250</v>
      </c>
      <c r="F67" t="inlineStr">
        <is>
          <t>NORRBOTTENS LÄN</t>
        </is>
      </c>
      <c r="G67" t="inlineStr">
        <is>
          <t>KIRUNA</t>
        </is>
      </c>
      <c r="H67" t="inlineStr">
        <is>
          <t>SCA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21268-2026</t>
        </is>
      </c>
      <c r="B68" t="inlineStr">
        <is>
          <t>avverkningsanmälan</t>
        </is>
      </c>
      <c r="C68" t="inlineStr">
        <is>
          <t>Föryngringsavverkning</t>
        </is>
      </c>
      <c r="D68" s="1" t="n">
        <v>46147</v>
      </c>
      <c r="E68" s="1" t="n">
        <v>46250</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t="n">
        <v>0</v>
      </c>
      <c r="V68" s="2" t="inlineStr"/>
    </row>
    <row r="69" ht="15" customHeight="1">
      <c r="A69" t="inlineStr">
        <is>
          <t>A 20578-2025</t>
        </is>
      </c>
      <c r="B69" t="inlineStr">
        <is>
          <t>avverkningsanmälan</t>
        </is>
      </c>
      <c r="C69" t="inlineStr">
        <is>
          <t>Föryngringsavverkning</t>
        </is>
      </c>
      <c r="D69" s="1" t="n">
        <v>45775</v>
      </c>
      <c r="E69" s="1" t="n">
        <v>46250</v>
      </c>
      <c r="F69" t="inlineStr">
        <is>
          <t>NORRBOTTENS LÄN</t>
        </is>
      </c>
      <c r="G69" t="inlineStr">
        <is>
          <t>KIRUNA</t>
        </is>
      </c>
      <c r="H69" t="inlineStr">
        <is>
          <t>Sveaskog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46250</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13526-2024</t>
        </is>
      </c>
      <c r="B71" t="inlineStr">
        <is>
          <t>avverkningsanmälan</t>
        </is>
      </c>
      <c r="C71" t="inlineStr">
        <is>
          <t>Föryngringsavverkning</t>
        </is>
      </c>
      <c r="D71" s="1" t="n">
        <v>45387</v>
      </c>
      <c r="E71" s="1" t="n">
        <v>46250</v>
      </c>
      <c r="F71" t="inlineStr">
        <is>
          <t>NORRBOTTENS LÄN</t>
        </is>
      </c>
      <c r="G71" t="inlineStr">
        <is>
          <t>KIRUNA</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39247-2023</t>
        </is>
      </c>
      <c r="B72" t="inlineStr">
        <is>
          <t>avverkningsanmälan</t>
        </is>
      </c>
      <c r="C72" t="inlineStr">
        <is>
          <t>Föryngringsavverkning</t>
        </is>
      </c>
      <c r="D72" s="1" t="n">
        <v>45162</v>
      </c>
      <c r="E72" s="1" t="n">
        <v>46250</v>
      </c>
      <c r="F72" t="inlineStr">
        <is>
          <t>NORRBOTTENS LÄN</t>
        </is>
      </c>
      <c r="G72" t="inlineStr">
        <is>
          <t>KIRUNA</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50590-2023</t>
        </is>
      </c>
      <c r="B73" t="inlineStr">
        <is>
          <t>avverkningsanmälan</t>
        </is>
      </c>
      <c r="C73" t="inlineStr">
        <is>
          <t>Föryngringsavverkning</t>
        </is>
      </c>
      <c r="D73" s="1" t="n">
        <v>45217</v>
      </c>
      <c r="E73" s="1" t="n">
        <v>46250</v>
      </c>
      <c r="F73" t="inlineStr">
        <is>
          <t>NORRBOTTENS LÄN</t>
        </is>
      </c>
      <c r="G73" t="inlineStr">
        <is>
          <t>KIRUNA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20744-2024</t>
        </is>
      </c>
      <c r="B74" t="inlineStr">
        <is>
          <t>avverkningsanmälan</t>
        </is>
      </c>
      <c r="C74" t="inlineStr">
        <is>
          <t>Föryngringsavverkning</t>
        </is>
      </c>
      <c r="D74" s="1" t="n">
        <v>45436</v>
      </c>
      <c r="E74" s="1" t="n">
        <v>46250</v>
      </c>
      <c r="F74" t="inlineStr">
        <is>
          <t>NORRBOTTENS LÄN</t>
        </is>
      </c>
      <c r="G74" t="inlineStr">
        <is>
          <t>KIRUNA</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46250</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46250</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28707-2022</t>
        </is>
      </c>
      <c r="B77" t="inlineStr">
        <is>
          <t>avverkningsanmälan</t>
        </is>
      </c>
      <c r="C77" t="inlineStr">
        <is>
          <t>Föryngringsavverkning</t>
        </is>
      </c>
      <c r="D77" s="1" t="n">
        <v>44748</v>
      </c>
      <c r="E77" s="1" t="n">
        <v>46250</v>
      </c>
      <c r="F77" t="inlineStr">
        <is>
          <t>NORRBOTTENS LÄN</t>
        </is>
      </c>
      <c r="G77" t="inlineStr">
        <is>
          <t>KIRUNA</t>
        </is>
      </c>
      <c r="I77" t="n">
        <v>15.2</v>
      </c>
      <c r="J77" t="n">
        <v>0</v>
      </c>
      <c r="K77" t="n">
        <v>0</v>
      </c>
      <c r="L77" t="n">
        <v>0</v>
      </c>
      <c r="M77" t="n">
        <v>0</v>
      </c>
      <c r="N77" t="n">
        <v>0</v>
      </c>
      <c r="O77" t="n">
        <v>0</v>
      </c>
      <c r="P77" t="n">
        <v>0</v>
      </c>
      <c r="Q77" t="n">
        <v>0</v>
      </c>
      <c r="R77" t="n">
        <v>0</v>
      </c>
      <c r="S77" t="n">
        <v>0</v>
      </c>
      <c r="T77" t="n">
        <v>0</v>
      </c>
      <c r="U77" t="n">
        <v>0</v>
      </c>
      <c r="V77" s="2" t="inlineStr"/>
    </row>
    <row r="78" ht="15" customHeight="1">
      <c r="A78" t="inlineStr">
        <is>
          <t>A 34664-2025</t>
        </is>
      </c>
      <c r="B78" t="inlineStr">
        <is>
          <t>avverkningsanmälan</t>
        </is>
      </c>
      <c r="C78" t="inlineStr">
        <is>
          <t>Föryngringsavverkning</t>
        </is>
      </c>
      <c r="D78" s="1" t="n">
        <v>45848</v>
      </c>
      <c r="E78" s="1" t="n">
        <v>46250</v>
      </c>
      <c r="F78" t="inlineStr">
        <is>
          <t>NORRBOTTENS LÄN</t>
        </is>
      </c>
      <c r="G78" t="inlineStr">
        <is>
          <t>KIRUNA</t>
        </is>
      </c>
      <c r="I78" t="n">
        <v>8.4</v>
      </c>
      <c r="J78" t="n">
        <v>0</v>
      </c>
      <c r="K78" t="n">
        <v>0</v>
      </c>
      <c r="L78" t="n">
        <v>0</v>
      </c>
      <c r="M78" t="n">
        <v>0</v>
      </c>
      <c r="N78" t="n">
        <v>0</v>
      </c>
      <c r="O78" t="n">
        <v>0</v>
      </c>
      <c r="P78" t="n">
        <v>0</v>
      </c>
      <c r="Q78" t="n">
        <v>0</v>
      </c>
      <c r="R78" t="n">
        <v>0</v>
      </c>
      <c r="S78" t="n">
        <v>0</v>
      </c>
      <c r="T78" t="n">
        <v>0</v>
      </c>
      <c r="U78" t="n">
        <v>0</v>
      </c>
      <c r="V78" s="2" t="inlineStr"/>
    </row>
    <row r="79" ht="15" customHeight="1">
      <c r="A79" t="inlineStr">
        <is>
          <t>A 34663-2025</t>
        </is>
      </c>
      <c r="B79" t="inlineStr">
        <is>
          <t>avverkningsanmälan</t>
        </is>
      </c>
      <c r="C79" t="inlineStr">
        <is>
          <t>Föryngringsavverkning</t>
        </is>
      </c>
      <c r="D79" s="1" t="n">
        <v>45848</v>
      </c>
      <c r="E79" s="1" t="n">
        <v>46250</v>
      </c>
      <c r="F79" t="inlineStr">
        <is>
          <t>NORRBOTTENS LÄN</t>
        </is>
      </c>
      <c r="G79" t="inlineStr">
        <is>
          <t>KIRUNA</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30591-2026</t>
        </is>
      </c>
      <c r="B80" t="inlineStr">
        <is>
          <t>avverkningsanmälan</t>
        </is>
      </c>
      <c r="C80" t="inlineStr">
        <is>
          <t>Föryngringsavverkning</t>
        </is>
      </c>
      <c r="D80" s="1" t="n">
        <v>46210</v>
      </c>
      <c r="E80" s="1" t="n">
        <v>46250</v>
      </c>
      <c r="F80" t="inlineStr">
        <is>
          <t>NORRBOTTENS LÄN</t>
        </is>
      </c>
      <c r="G80" t="inlineStr">
        <is>
          <t>KIRUNA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46250</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29048-2026</t>
        </is>
      </c>
      <c r="B82" t="inlineStr">
        <is>
          <t>avverkningsanmälan</t>
        </is>
      </c>
      <c r="C82" t="inlineStr">
        <is>
          <t>Föryngringsavverkning</t>
        </is>
      </c>
      <c r="D82" s="1" t="n">
        <v>46199</v>
      </c>
      <c r="E82" s="1" t="n">
        <v>46250</v>
      </c>
      <c r="F82" t="inlineStr">
        <is>
          <t>NORRBOTTENS LÄN</t>
        </is>
      </c>
      <c r="G82" t="inlineStr">
        <is>
          <t>KIRUNA</t>
        </is>
      </c>
      <c r="I82" t="n">
        <v>16.9</v>
      </c>
      <c r="J82" t="n">
        <v>0</v>
      </c>
      <c r="K82" t="n">
        <v>0</v>
      </c>
      <c r="L82" t="n">
        <v>0</v>
      </c>
      <c r="M82" t="n">
        <v>0</v>
      </c>
      <c r="N82" t="n">
        <v>0</v>
      </c>
      <c r="O82" t="n">
        <v>0</v>
      </c>
      <c r="P82" t="n">
        <v>0</v>
      </c>
      <c r="Q82" t="n">
        <v>0</v>
      </c>
      <c r="R82" t="n">
        <v>0</v>
      </c>
      <c r="S82" t="n">
        <v>0</v>
      </c>
      <c r="T82" t="n">
        <v>0</v>
      </c>
      <c r="U82" t="n">
        <v>0</v>
      </c>
      <c r="V82" s="2" t="inlineStr"/>
    </row>
    <row r="83" ht="15" customHeight="1">
      <c r="A83" t="inlineStr">
        <is>
          <t>A 28533-2026</t>
        </is>
      </c>
      <c r="B83" t="inlineStr">
        <is>
          <t>avverkningsanmälan</t>
        </is>
      </c>
      <c r="C83" t="inlineStr">
        <is>
          <t>Föryngringsavverkning</t>
        </is>
      </c>
      <c r="D83" s="1" t="n">
        <v>46197</v>
      </c>
      <c r="E83" s="1" t="n">
        <v>46250</v>
      </c>
      <c r="F83" t="inlineStr">
        <is>
          <t>NORRBOTTENS LÄN</t>
        </is>
      </c>
      <c r="G83" t="inlineStr">
        <is>
          <t>KIRUNA</t>
        </is>
      </c>
      <c r="I83" t="n">
        <v>54.2</v>
      </c>
      <c r="J83" t="n">
        <v>0</v>
      </c>
      <c r="K83" t="n">
        <v>0</v>
      </c>
      <c r="L83" t="n">
        <v>0</v>
      </c>
      <c r="M83" t="n">
        <v>0</v>
      </c>
      <c r="N83" t="n">
        <v>0</v>
      </c>
      <c r="O83" t="n">
        <v>0</v>
      </c>
      <c r="P83" t="n">
        <v>0</v>
      </c>
      <c r="Q83" t="n">
        <v>0</v>
      </c>
      <c r="R83" t="n">
        <v>0</v>
      </c>
      <c r="S83" t="n">
        <v>0</v>
      </c>
      <c r="T83" t="n">
        <v>0</v>
      </c>
      <c r="U83" t="n">
        <v>0</v>
      </c>
      <c r="V83" s="2" t="inlineStr"/>
    </row>
    <row r="84" ht="15" customHeight="1">
      <c r="A84" t="inlineStr">
        <is>
          <t>A 29231-2026</t>
        </is>
      </c>
      <c r="B84" t="inlineStr">
        <is>
          <t>avverkningsanmälan</t>
        </is>
      </c>
      <c r="C84" t="inlineStr">
        <is>
          <t>Föryngringsavverkning</t>
        </is>
      </c>
      <c r="D84" s="1" t="n">
        <v>46202</v>
      </c>
      <c r="E84" s="1" t="n">
        <v>46250</v>
      </c>
      <c r="F84" t="inlineStr">
        <is>
          <t>NORRBOTTENS LÄN</t>
        </is>
      </c>
      <c r="G84" t="inlineStr">
        <is>
          <t>KIRUNA</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29167-2026</t>
        </is>
      </c>
      <c r="B85" t="inlineStr">
        <is>
          <t>avverkningsanmälan</t>
        </is>
      </c>
      <c r="C85" t="inlineStr">
        <is>
          <t>Föryngringsavverkning</t>
        </is>
      </c>
      <c r="D85" s="1" t="n">
        <v>46202</v>
      </c>
      <c r="E85" s="1" t="n">
        <v>46250</v>
      </c>
      <c r="F85" t="inlineStr">
        <is>
          <t>NORRBOTTENS LÄN</t>
        </is>
      </c>
      <c r="G85" t="inlineStr">
        <is>
          <t>KIRUNA</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30524-2026</t>
        </is>
      </c>
      <c r="B86" t="inlineStr">
        <is>
          <t>avverkningsanmälan</t>
        </is>
      </c>
      <c r="C86" t="inlineStr">
        <is>
          <t>Föryngringsavverkning</t>
        </is>
      </c>
      <c r="D86" s="1" t="n">
        <v>46210</v>
      </c>
      <c r="E86" s="1" t="n">
        <v>46250</v>
      </c>
      <c r="F86" t="inlineStr">
        <is>
          <t>NORRBOTTENS LÄN</t>
        </is>
      </c>
      <c r="G86" t="inlineStr">
        <is>
          <t>KIRUNA</t>
        </is>
      </c>
      <c r="I86" t="n">
        <v>21.7</v>
      </c>
      <c r="J86" t="n">
        <v>0</v>
      </c>
      <c r="K86" t="n">
        <v>0</v>
      </c>
      <c r="L86" t="n">
        <v>0</v>
      </c>
      <c r="M86" t="n">
        <v>0</v>
      </c>
      <c r="N86" t="n">
        <v>0</v>
      </c>
      <c r="O86" t="n">
        <v>0</v>
      </c>
      <c r="P86" t="n">
        <v>0</v>
      </c>
      <c r="Q86" t="n">
        <v>0</v>
      </c>
      <c r="R86" t="n">
        <v>0</v>
      </c>
      <c r="S86" t="n">
        <v>0</v>
      </c>
      <c r="T86" t="n">
        <v>0</v>
      </c>
      <c r="U86" t="n">
        <v>0</v>
      </c>
      <c r="V86" s="2" t="inlineStr"/>
    </row>
    <row r="87">
      <c r="A87" t="inlineStr">
        <is>
          <t>S 637-2025</t>
        </is>
      </c>
      <c r="B87" t="inlineStr">
        <is>
          <t>samrådsanmälan</t>
        </is>
      </c>
      <c r="C87" t="inlineStr">
        <is>
          <t>Annan skogsbruksåtgärd</t>
        </is>
      </c>
      <c r="D87" s="1" t="n">
        <v>45714</v>
      </c>
      <c r="E87" s="1" t="n">
        <v>46250</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2026-08-16T01:48:02Z</dcterms:created>
  <dcterms:modified xmlns:dcterms="http://purl.org/dc/terms/" xmlns:xsi="http://www.w3.org/2001/XMLSchema-instance" xsi:type="dcterms:W3CDTF">2026-08-16T01:48:03Z</dcterms:modified>
</cp:coreProperties>
</file>