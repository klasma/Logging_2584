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45884</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45884</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45884</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45884</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45884</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45884</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45884</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45884</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45884</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45884</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45884</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53309-2023</t>
        </is>
      </c>
      <c r="B15" s="1" t="n">
        <v>45229</v>
      </c>
      <c r="C15" s="1" t="n">
        <v>45884</v>
      </c>
      <c r="D15" t="inlineStr">
        <is>
          <t>NORRBOTTENS LÄN</t>
        </is>
      </c>
      <c r="E15" t="inlineStr">
        <is>
          <t>KIRUNA</t>
        </is>
      </c>
      <c r="G15" t="n">
        <v>1.6</v>
      </c>
      <c r="H15" t="n">
        <v>3</v>
      </c>
      <c r="I15" t="n">
        <v>0</v>
      </c>
      <c r="J15" t="n">
        <v>1</v>
      </c>
      <c r="K15" t="n">
        <v>0</v>
      </c>
      <c r="L15" t="n">
        <v>0</v>
      </c>
      <c r="M15" t="n">
        <v>0</v>
      </c>
      <c r="N15" t="n">
        <v>0</v>
      </c>
      <c r="O15" t="n">
        <v>1</v>
      </c>
      <c r="P15" t="n">
        <v>0</v>
      </c>
      <c r="Q15" t="n">
        <v>3</v>
      </c>
      <c r="R15" s="2" t="inlineStr">
        <is>
          <t>Havsörn
Fiskgjuse
Grönsiska</t>
        </is>
      </c>
      <c r="S15">
        <f>HYPERLINK("https://klasma.github.io/Logging_2584/artfynd/A 53309-2023 artfynd.xlsx", "A 53309-2023")</f>
        <v/>
      </c>
      <c r="T15">
        <f>HYPERLINK("https://klasma.github.io/Logging_2584/kartor/A 53309-2023 karta.png", "A 53309-2023")</f>
        <v/>
      </c>
      <c r="V15">
        <f>HYPERLINK("https://klasma.github.io/Logging_2584/klagomål/A 53309-2023 FSC-klagomål.docx", "A 53309-2023")</f>
        <v/>
      </c>
      <c r="W15">
        <f>HYPERLINK("https://klasma.github.io/Logging_2584/klagomålsmail/A 53309-2023 FSC-klagomål mail.docx", "A 53309-2023")</f>
        <v/>
      </c>
      <c r="X15">
        <f>HYPERLINK("https://klasma.github.io/Logging_2584/tillsyn/A 53309-2023 tillsynsbegäran.docx", "A 53309-2023")</f>
        <v/>
      </c>
      <c r="Y15">
        <f>HYPERLINK("https://klasma.github.io/Logging_2584/tillsynsmail/A 53309-2023 tillsynsbegäran mail.docx", "A 53309-2023")</f>
        <v/>
      </c>
      <c r="Z15">
        <f>HYPERLINK("https://klasma.github.io/Logging_2584/fåglar/A 53309-2023 prioriterade fågelarter.docx", "A 53309-2023")</f>
        <v/>
      </c>
    </row>
    <row r="16" ht="15" customHeight="1">
      <c r="A16" t="inlineStr">
        <is>
          <t>A 17705-2023</t>
        </is>
      </c>
      <c r="B16" s="1" t="n">
        <v>45035</v>
      </c>
      <c r="C16" s="1" t="n">
        <v>45884</v>
      </c>
      <c r="D16" t="inlineStr">
        <is>
          <t>NORRBOTTENS LÄN</t>
        </is>
      </c>
      <c r="E16" t="inlineStr">
        <is>
          <t>KIRUNA</t>
        </is>
      </c>
      <c r="F16" t="inlineStr">
        <is>
          <t>Allmännings- och besparingsskogar</t>
        </is>
      </c>
      <c r="G16" t="n">
        <v>58.9</v>
      </c>
      <c r="H16" t="n">
        <v>0</v>
      </c>
      <c r="I16" t="n">
        <v>1</v>
      </c>
      <c r="J16" t="n">
        <v>1</v>
      </c>
      <c r="K16" t="n">
        <v>1</v>
      </c>
      <c r="L16" t="n">
        <v>0</v>
      </c>
      <c r="M16" t="n">
        <v>0</v>
      </c>
      <c r="N16" t="n">
        <v>0</v>
      </c>
      <c r="O16" t="n">
        <v>2</v>
      </c>
      <c r="P16" t="n">
        <v>1</v>
      </c>
      <c r="Q16" t="n">
        <v>3</v>
      </c>
      <c r="R16" s="2" t="inlineStr">
        <is>
          <t>Fläckporing
Orange taggsvamp
Dropptaggsvamp</t>
        </is>
      </c>
      <c r="S16">
        <f>HYPERLINK("https://klasma.github.io/Logging_2584/artfynd/A 17705-2023 artfynd.xlsx", "A 17705-2023")</f>
        <v/>
      </c>
      <c r="T16">
        <f>HYPERLINK("https://klasma.github.io/Logging_2584/kartor/A 17705-2023 karta.png", "A 17705-2023")</f>
        <v/>
      </c>
      <c r="V16">
        <f>HYPERLINK("https://klasma.github.io/Logging_2584/klagomål/A 17705-2023 FSC-klagomål.docx", "A 17705-2023")</f>
        <v/>
      </c>
      <c r="W16">
        <f>HYPERLINK("https://klasma.github.io/Logging_2584/klagomålsmail/A 17705-2023 FSC-klagomål mail.docx", "A 17705-2023")</f>
        <v/>
      </c>
      <c r="X16">
        <f>HYPERLINK("https://klasma.github.io/Logging_2584/tillsyn/A 17705-2023 tillsynsbegäran.docx", "A 17705-2023")</f>
        <v/>
      </c>
      <c r="Y16">
        <f>HYPERLINK("https://klasma.github.io/Logging_2584/tillsynsmail/A 17705-2023 tillsynsbegäran mail.docx", "A 17705-2023")</f>
        <v/>
      </c>
    </row>
    <row r="17" ht="15" customHeight="1">
      <c r="A17" t="inlineStr">
        <is>
          <t>A 20780-2025</t>
        </is>
      </c>
      <c r="B17" s="1" t="n">
        <v>45776</v>
      </c>
      <c r="C17" s="1" t="n">
        <v>45884</v>
      </c>
      <c r="D17" t="inlineStr">
        <is>
          <t>NORRBOTTENS LÄN</t>
        </is>
      </c>
      <c r="E17" t="inlineStr">
        <is>
          <t>KIRUNA</t>
        </is>
      </c>
      <c r="F17" t="inlineStr">
        <is>
          <t>Sveaskog</t>
        </is>
      </c>
      <c r="G17" t="n">
        <v>5.7</v>
      </c>
      <c r="H17" t="n">
        <v>1</v>
      </c>
      <c r="I17" t="n">
        <v>2</v>
      </c>
      <c r="J17" t="n">
        <v>1</v>
      </c>
      <c r="K17" t="n">
        <v>0</v>
      </c>
      <c r="L17" t="n">
        <v>0</v>
      </c>
      <c r="M17" t="n">
        <v>0</v>
      </c>
      <c r="N17" t="n">
        <v>0</v>
      </c>
      <c r="O17" t="n">
        <v>1</v>
      </c>
      <c r="P17" t="n">
        <v>0</v>
      </c>
      <c r="Q17" t="n">
        <v>3</v>
      </c>
      <c r="R17" s="2" t="inlineStr">
        <is>
          <t>Garnlav
Lappranunkel
Stuplav</t>
        </is>
      </c>
      <c r="S17">
        <f>HYPERLINK("https://klasma.github.io/Logging_2584/artfynd/A 20780-2025 artfynd.xlsx", "A 20780-2025")</f>
        <v/>
      </c>
      <c r="T17">
        <f>HYPERLINK("https://klasma.github.io/Logging_2584/kartor/A 20780-2025 karta.png", "A 20780-2025")</f>
        <v/>
      </c>
      <c r="V17">
        <f>HYPERLINK("https://klasma.github.io/Logging_2584/klagomål/A 20780-2025 FSC-klagomål.docx", "A 20780-2025")</f>
        <v/>
      </c>
      <c r="W17">
        <f>HYPERLINK("https://klasma.github.io/Logging_2584/klagomålsmail/A 20780-2025 FSC-klagomål mail.docx", "A 20780-2025")</f>
        <v/>
      </c>
      <c r="X17">
        <f>HYPERLINK("https://klasma.github.io/Logging_2584/tillsyn/A 20780-2025 tillsynsbegäran.docx", "A 20780-2025")</f>
        <v/>
      </c>
      <c r="Y17">
        <f>HYPERLINK("https://klasma.github.io/Logging_2584/tillsynsmail/A 20780-2025 tillsynsbegäran mail.docx", "A 20780-2025")</f>
        <v/>
      </c>
    </row>
    <row r="18" ht="15" customHeight="1">
      <c r="A18" t="inlineStr">
        <is>
          <t>A 4367-2024</t>
        </is>
      </c>
      <c r="B18" s="1" t="n">
        <v>45326</v>
      </c>
      <c r="C18" s="1" t="n">
        <v>45884</v>
      </c>
      <c r="D18" t="inlineStr">
        <is>
          <t>NORRBOTTENS LÄN</t>
        </is>
      </c>
      <c r="E18" t="inlineStr">
        <is>
          <t>KIRUNA</t>
        </is>
      </c>
      <c r="G18" t="n">
        <v>7.5</v>
      </c>
      <c r="H18" t="n">
        <v>0</v>
      </c>
      <c r="I18" t="n">
        <v>0</v>
      </c>
      <c r="J18" t="n">
        <v>2</v>
      </c>
      <c r="K18" t="n">
        <v>0</v>
      </c>
      <c r="L18" t="n">
        <v>0</v>
      </c>
      <c r="M18" t="n">
        <v>0</v>
      </c>
      <c r="N18" t="n">
        <v>0</v>
      </c>
      <c r="O18" t="n">
        <v>2</v>
      </c>
      <c r="P18" t="n">
        <v>0</v>
      </c>
      <c r="Q18" t="n">
        <v>2</v>
      </c>
      <c r="R18" s="2" t="inlineStr">
        <is>
          <t>Granticka
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53264-2023</t>
        </is>
      </c>
      <c r="B19" s="1" t="n">
        <v>45222</v>
      </c>
      <c r="C19" s="1" t="n">
        <v>45884</v>
      </c>
      <c r="D19" t="inlineStr">
        <is>
          <t>NORRBOTTENS LÄN</t>
        </is>
      </c>
      <c r="E19" t="inlineStr">
        <is>
          <t>KIRUNA</t>
        </is>
      </c>
      <c r="G19" t="n">
        <v>100.3</v>
      </c>
      <c r="H19" t="n">
        <v>2</v>
      </c>
      <c r="I19" t="n">
        <v>1</v>
      </c>
      <c r="J19" t="n">
        <v>0</v>
      </c>
      <c r="K19" t="n">
        <v>0</v>
      </c>
      <c r="L19" t="n">
        <v>0</v>
      </c>
      <c r="M19" t="n">
        <v>0</v>
      </c>
      <c r="N19" t="n">
        <v>0</v>
      </c>
      <c r="O19" t="n">
        <v>0</v>
      </c>
      <c r="P19" t="n">
        <v>0</v>
      </c>
      <c r="Q19" t="n">
        <v>2</v>
      </c>
      <c r="R19" s="2" t="inlineStr">
        <is>
          <t>Plattlummer
Revlummer</t>
        </is>
      </c>
      <c r="S19">
        <f>HYPERLINK("https://klasma.github.io/Logging_2584/artfynd/A 53264-2023 artfynd.xlsx", "A 53264-2023")</f>
        <v/>
      </c>
      <c r="T19">
        <f>HYPERLINK("https://klasma.github.io/Logging_2584/kartor/A 53264-2023 karta.png", "A 53264-2023")</f>
        <v/>
      </c>
      <c r="V19">
        <f>HYPERLINK("https://klasma.github.io/Logging_2584/klagomål/A 53264-2023 FSC-klagomål.docx", "A 53264-2023")</f>
        <v/>
      </c>
      <c r="W19">
        <f>HYPERLINK("https://klasma.github.io/Logging_2584/klagomålsmail/A 53264-2023 FSC-klagomål mail.docx", "A 53264-2023")</f>
        <v/>
      </c>
      <c r="X19">
        <f>HYPERLINK("https://klasma.github.io/Logging_2584/tillsyn/A 53264-2023 tillsynsbegäran.docx", "A 53264-2023")</f>
        <v/>
      </c>
      <c r="Y19">
        <f>HYPERLINK("https://klasma.github.io/Logging_2584/tillsynsmail/A 53264-2023 tillsynsbegäran mail.docx", "A 53264-2023")</f>
        <v/>
      </c>
    </row>
    <row r="20" ht="15" customHeight="1">
      <c r="A20" t="inlineStr">
        <is>
          <t>A 64829-2023</t>
        </is>
      </c>
      <c r="B20" s="1" t="n">
        <v>45281</v>
      </c>
      <c r="C20" s="1" t="n">
        <v>45884</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45810-2022</t>
        </is>
      </c>
      <c r="B21" s="1" t="n">
        <v>44844</v>
      </c>
      <c r="C21" s="1" t="n">
        <v>45884</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22495-2024</t>
        </is>
      </c>
      <c r="B22" s="1" t="n">
        <v>45447</v>
      </c>
      <c r="C22" s="1" t="n">
        <v>45884</v>
      </c>
      <c r="D22" t="inlineStr">
        <is>
          <t>NORRBOTTENS LÄN</t>
        </is>
      </c>
      <c r="E22" t="inlineStr">
        <is>
          <t>KIRUNA</t>
        </is>
      </c>
      <c r="G22" t="n">
        <v>7.1</v>
      </c>
      <c r="H22" t="n">
        <v>0</v>
      </c>
      <c r="I22" t="n">
        <v>0</v>
      </c>
      <c r="J22" t="n">
        <v>0</v>
      </c>
      <c r="K22" t="n">
        <v>1</v>
      </c>
      <c r="L22" t="n">
        <v>0</v>
      </c>
      <c r="M22" t="n">
        <v>0</v>
      </c>
      <c r="N22" t="n">
        <v>0</v>
      </c>
      <c r="O22" t="n">
        <v>1</v>
      </c>
      <c r="P22" t="n">
        <v>1</v>
      </c>
      <c r="Q22" t="n">
        <v>1</v>
      </c>
      <c r="R22" s="2" t="inlineStr">
        <is>
          <t>Tajgafältmätare</t>
        </is>
      </c>
      <c r="S22">
        <f>HYPERLINK("https://klasma.github.io/Logging_2584/artfynd/A 22495-2024 artfynd.xlsx", "A 22495-2024")</f>
        <v/>
      </c>
      <c r="T22">
        <f>HYPERLINK("https://klasma.github.io/Logging_2584/kartor/A 22495-2024 karta.png", "A 22495-2024")</f>
        <v/>
      </c>
      <c r="V22">
        <f>HYPERLINK("https://klasma.github.io/Logging_2584/klagomål/A 22495-2024 FSC-klagomål.docx", "A 22495-2024")</f>
        <v/>
      </c>
      <c r="W22">
        <f>HYPERLINK("https://klasma.github.io/Logging_2584/klagomålsmail/A 22495-2024 FSC-klagomål mail.docx", "A 22495-2024")</f>
        <v/>
      </c>
      <c r="X22">
        <f>HYPERLINK("https://klasma.github.io/Logging_2584/tillsyn/A 22495-2024 tillsynsbegäran.docx", "A 22495-2024")</f>
        <v/>
      </c>
      <c r="Y22">
        <f>HYPERLINK("https://klasma.github.io/Logging_2584/tillsynsmail/A 22495-2024 tillsynsbegäran mail.docx", "A 22495-2024")</f>
        <v/>
      </c>
    </row>
    <row r="23" ht="15" customHeight="1">
      <c r="A23" t="inlineStr">
        <is>
          <t>A 21183-2025</t>
        </is>
      </c>
      <c r="B23" s="1" t="n">
        <v>45779</v>
      </c>
      <c r="C23" s="1" t="n">
        <v>45884</v>
      </c>
      <c r="D23" t="inlineStr">
        <is>
          <t>NORRBOTTENS LÄN</t>
        </is>
      </c>
      <c r="E23" t="inlineStr">
        <is>
          <t>KIRUNA</t>
        </is>
      </c>
      <c r="G23" t="n">
        <v>31.9</v>
      </c>
      <c r="H23" t="n">
        <v>1</v>
      </c>
      <c r="I23" t="n">
        <v>0</v>
      </c>
      <c r="J23" t="n">
        <v>1</v>
      </c>
      <c r="K23" t="n">
        <v>0</v>
      </c>
      <c r="L23" t="n">
        <v>0</v>
      </c>
      <c r="M23" t="n">
        <v>0</v>
      </c>
      <c r="N23" t="n">
        <v>0</v>
      </c>
      <c r="O23" t="n">
        <v>1</v>
      </c>
      <c r="P23" t="n">
        <v>0</v>
      </c>
      <c r="Q23" t="n">
        <v>1</v>
      </c>
      <c r="R23" s="2" t="inlineStr">
        <is>
          <t>Venhavre</t>
        </is>
      </c>
      <c r="S23">
        <f>HYPERLINK("https://klasma.github.io/Logging_2584/artfynd/A 21183-2025 artfynd.xlsx", "A 21183-2025")</f>
        <v/>
      </c>
      <c r="T23">
        <f>HYPERLINK("https://klasma.github.io/Logging_2584/kartor/A 21183-2025 karta.png", "A 21183-2025")</f>
        <v/>
      </c>
      <c r="V23">
        <f>HYPERLINK("https://klasma.github.io/Logging_2584/klagomål/A 21183-2025 FSC-klagomål.docx", "A 21183-2025")</f>
        <v/>
      </c>
      <c r="W23">
        <f>HYPERLINK("https://klasma.github.io/Logging_2584/klagomålsmail/A 21183-2025 FSC-klagomål mail.docx", "A 21183-2025")</f>
        <v/>
      </c>
      <c r="X23">
        <f>HYPERLINK("https://klasma.github.io/Logging_2584/tillsyn/A 21183-2025 tillsynsbegäran.docx", "A 21183-2025")</f>
        <v/>
      </c>
      <c r="Y23">
        <f>HYPERLINK("https://klasma.github.io/Logging_2584/tillsynsmail/A 21183-2025 tillsynsbegäran mail.docx", "A 21183-2025")</f>
        <v/>
      </c>
    </row>
    <row r="24" ht="15" customHeight="1">
      <c r="A24" t="inlineStr">
        <is>
          <t>A 17740-2023</t>
        </is>
      </c>
      <c r="B24" s="1" t="n">
        <v>45035</v>
      </c>
      <c r="C24" s="1" t="n">
        <v>45884</v>
      </c>
      <c r="D24" t="inlineStr">
        <is>
          <t>NORRBOTTENS LÄN</t>
        </is>
      </c>
      <c r="E24" t="inlineStr">
        <is>
          <t>KIRUNA</t>
        </is>
      </c>
      <c r="F24" t="inlineStr">
        <is>
          <t>Allmännings- och besparingsskogar</t>
        </is>
      </c>
      <c r="G24" t="n">
        <v>20.1</v>
      </c>
      <c r="H24" t="n">
        <v>0</v>
      </c>
      <c r="I24" t="n">
        <v>0</v>
      </c>
      <c r="J24" t="n">
        <v>1</v>
      </c>
      <c r="K24" t="n">
        <v>0</v>
      </c>
      <c r="L24" t="n">
        <v>0</v>
      </c>
      <c r="M24" t="n">
        <v>0</v>
      </c>
      <c r="N24" t="n">
        <v>0</v>
      </c>
      <c r="O24" t="n">
        <v>1</v>
      </c>
      <c r="P24" t="n">
        <v>0</v>
      </c>
      <c r="Q24" t="n">
        <v>1</v>
      </c>
      <c r="R24" s="2" t="inlineStr">
        <is>
          <t>Knottrig blåslav</t>
        </is>
      </c>
      <c r="S24">
        <f>HYPERLINK("https://klasma.github.io/Logging_2584/artfynd/A 17740-2023 artfynd.xlsx", "A 17740-2023")</f>
        <v/>
      </c>
      <c r="T24">
        <f>HYPERLINK("https://klasma.github.io/Logging_2584/kartor/A 17740-2023 karta.png", "A 17740-2023")</f>
        <v/>
      </c>
      <c r="V24">
        <f>HYPERLINK("https://klasma.github.io/Logging_2584/klagomål/A 17740-2023 FSC-klagomål.docx", "A 17740-2023")</f>
        <v/>
      </c>
      <c r="W24">
        <f>HYPERLINK("https://klasma.github.io/Logging_2584/klagomålsmail/A 17740-2023 FSC-klagomål mail.docx", "A 17740-2023")</f>
        <v/>
      </c>
      <c r="X24">
        <f>HYPERLINK("https://klasma.github.io/Logging_2584/tillsyn/A 17740-2023 tillsynsbegäran.docx", "A 17740-2023")</f>
        <v/>
      </c>
      <c r="Y24">
        <f>HYPERLINK("https://klasma.github.io/Logging_2584/tillsynsmail/A 17740-2023 tillsynsbegäran mail.docx", "A 17740-2023")</f>
        <v/>
      </c>
    </row>
    <row r="25" ht="15" customHeight="1">
      <c r="A25" t="inlineStr">
        <is>
          <t>A 32819-2021</t>
        </is>
      </c>
      <c r="B25" s="1" t="n">
        <v>44375</v>
      </c>
      <c r="C25" s="1" t="n">
        <v>45884</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45884</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45884</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45884</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45884</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45884</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45884</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45884</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45884</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45884</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45884</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45884</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45884</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20744-2024</t>
        </is>
      </c>
      <c r="B38" s="1" t="n">
        <v>45436</v>
      </c>
      <c r="C38" s="1" t="n">
        <v>45884</v>
      </c>
      <c r="D38" t="inlineStr">
        <is>
          <t>NORRBOTTENS LÄN</t>
        </is>
      </c>
      <c r="E38" t="inlineStr">
        <is>
          <t>KIRUNA</t>
        </is>
      </c>
      <c r="G38" t="n">
        <v>9.699999999999999</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45884</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45884</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20578-2025</t>
        </is>
      </c>
      <c r="B41" s="1" t="n">
        <v>45775</v>
      </c>
      <c r="C41" s="1" t="n">
        <v>45884</v>
      </c>
      <c r="D41" t="inlineStr">
        <is>
          <t>NORRBOTTENS LÄN</t>
        </is>
      </c>
      <c r="E41" t="inlineStr">
        <is>
          <t>KIRUNA</t>
        </is>
      </c>
      <c r="F41" t="inlineStr">
        <is>
          <t>Sveaskog</t>
        </is>
      </c>
      <c r="G41" t="n">
        <v>12.5</v>
      </c>
      <c r="H41" t="n">
        <v>0</v>
      </c>
      <c r="I41" t="n">
        <v>0</v>
      </c>
      <c r="J41" t="n">
        <v>0</v>
      </c>
      <c r="K41" t="n">
        <v>0</v>
      </c>
      <c r="L41" t="n">
        <v>0</v>
      </c>
      <c r="M41" t="n">
        <v>0</v>
      </c>
      <c r="N41" t="n">
        <v>0</v>
      </c>
      <c r="O41" t="n">
        <v>0</v>
      </c>
      <c r="P41" t="n">
        <v>0</v>
      </c>
      <c r="Q41" t="n">
        <v>0</v>
      </c>
      <c r="R41" s="2" t="inlineStr"/>
    </row>
    <row r="42" ht="15" customHeight="1">
      <c r="A42" t="inlineStr">
        <is>
          <t>A 58860-2022</t>
        </is>
      </c>
      <c r="B42" s="1" t="n">
        <v>44896</v>
      </c>
      <c r="C42" s="1" t="n">
        <v>45884</v>
      </c>
      <c r="D42" t="inlineStr">
        <is>
          <t>NORRBOTTENS LÄN</t>
        </is>
      </c>
      <c r="E42" t="inlineStr">
        <is>
          <t>KIRUNA</t>
        </is>
      </c>
      <c r="G42" t="n">
        <v>0.3</v>
      </c>
      <c r="H42" t="n">
        <v>0</v>
      </c>
      <c r="I42" t="n">
        <v>0</v>
      </c>
      <c r="J42" t="n">
        <v>0</v>
      </c>
      <c r="K42" t="n">
        <v>0</v>
      </c>
      <c r="L42" t="n">
        <v>0</v>
      </c>
      <c r="M42" t="n">
        <v>0</v>
      </c>
      <c r="N42" t="n">
        <v>0</v>
      </c>
      <c r="O42" t="n">
        <v>0</v>
      </c>
      <c r="P42" t="n">
        <v>0</v>
      </c>
      <c r="Q42" t="n">
        <v>0</v>
      </c>
      <c r="R42" s="2" t="inlineStr"/>
    </row>
    <row r="43" ht="15" customHeight="1">
      <c r="A43" t="inlineStr">
        <is>
          <t>A 20581-2025</t>
        </is>
      </c>
      <c r="B43" s="1" t="n">
        <v>45775</v>
      </c>
      <c r="C43" s="1" t="n">
        <v>45884</v>
      </c>
      <c r="D43" t="inlineStr">
        <is>
          <t>NORRBOTTENS LÄN</t>
        </is>
      </c>
      <c r="E43" t="inlineStr">
        <is>
          <t>KIRUNA</t>
        </is>
      </c>
      <c r="F43" t="inlineStr">
        <is>
          <t>Sveaskog</t>
        </is>
      </c>
      <c r="G43" t="n">
        <v>4</v>
      </c>
      <c r="H43" t="n">
        <v>0</v>
      </c>
      <c r="I43" t="n">
        <v>0</v>
      </c>
      <c r="J43" t="n">
        <v>0</v>
      </c>
      <c r="K43" t="n">
        <v>0</v>
      </c>
      <c r="L43" t="n">
        <v>0</v>
      </c>
      <c r="M43" t="n">
        <v>0</v>
      </c>
      <c r="N43" t="n">
        <v>0</v>
      </c>
      <c r="O43" t="n">
        <v>0</v>
      </c>
      <c r="P43" t="n">
        <v>0</v>
      </c>
      <c r="Q43" t="n">
        <v>0</v>
      </c>
      <c r="R43" s="2" t="inlineStr"/>
    </row>
    <row r="44" ht="15" customHeight="1">
      <c r="A44" t="inlineStr">
        <is>
          <t>A 18737-2023</t>
        </is>
      </c>
      <c r="B44" s="1" t="n">
        <v>45042</v>
      </c>
      <c r="C44" s="1" t="n">
        <v>45884</v>
      </c>
      <c r="D44" t="inlineStr">
        <is>
          <t>NORRBOTTENS LÄN</t>
        </is>
      </c>
      <c r="E44" t="inlineStr">
        <is>
          <t>KIRUNA</t>
        </is>
      </c>
      <c r="F44" t="inlineStr">
        <is>
          <t>Sveaskog</t>
        </is>
      </c>
      <c r="G44" t="n">
        <v>10.7</v>
      </c>
      <c r="H44" t="n">
        <v>0</v>
      </c>
      <c r="I44" t="n">
        <v>0</v>
      </c>
      <c r="J44" t="n">
        <v>0</v>
      </c>
      <c r="K44" t="n">
        <v>0</v>
      </c>
      <c r="L44" t="n">
        <v>0</v>
      </c>
      <c r="M44" t="n">
        <v>0</v>
      </c>
      <c r="N44" t="n">
        <v>0</v>
      </c>
      <c r="O44" t="n">
        <v>0</v>
      </c>
      <c r="P44" t="n">
        <v>0</v>
      </c>
      <c r="Q44" t="n">
        <v>0</v>
      </c>
      <c r="R44" s="2" t="inlineStr"/>
    </row>
    <row r="45" ht="15" customHeight="1">
      <c r="A45" t="inlineStr">
        <is>
          <t>A 39247-2023</t>
        </is>
      </c>
      <c r="B45" s="1" t="n">
        <v>45162</v>
      </c>
      <c r="C45" s="1" t="n">
        <v>45884</v>
      </c>
      <c r="D45" t="inlineStr">
        <is>
          <t>NORRBOTTENS LÄN</t>
        </is>
      </c>
      <c r="E45" t="inlineStr">
        <is>
          <t>KIRUNA</t>
        </is>
      </c>
      <c r="G45" t="n">
        <v>11.7</v>
      </c>
      <c r="H45" t="n">
        <v>0</v>
      </c>
      <c r="I45" t="n">
        <v>0</v>
      </c>
      <c r="J45" t="n">
        <v>0</v>
      </c>
      <c r="K45" t="n">
        <v>0</v>
      </c>
      <c r="L45" t="n">
        <v>0</v>
      </c>
      <c r="M45" t="n">
        <v>0</v>
      </c>
      <c r="N45" t="n">
        <v>0</v>
      </c>
      <c r="O45" t="n">
        <v>0</v>
      </c>
      <c r="P45" t="n">
        <v>0</v>
      </c>
      <c r="Q45" t="n">
        <v>0</v>
      </c>
      <c r="R45" s="2" t="inlineStr"/>
    </row>
    <row r="46" ht="15" customHeight="1">
      <c r="A46" t="inlineStr">
        <is>
          <t>A 8350-2025</t>
        </is>
      </c>
      <c r="B46" s="1" t="n">
        <v>45708</v>
      </c>
      <c r="C46" s="1" t="n">
        <v>45884</v>
      </c>
      <c r="D46" t="inlineStr">
        <is>
          <t>NORRBOTTENS LÄN</t>
        </is>
      </c>
      <c r="E46" t="inlineStr">
        <is>
          <t>KIRUNA</t>
        </is>
      </c>
      <c r="F46" t="inlineStr">
        <is>
          <t>Övriga statliga verk och myndigheter</t>
        </is>
      </c>
      <c r="G46" t="n">
        <v>0.8</v>
      </c>
      <c r="H46" t="n">
        <v>0</v>
      </c>
      <c r="I46" t="n">
        <v>0</v>
      </c>
      <c r="J46" t="n">
        <v>0</v>
      </c>
      <c r="K46" t="n">
        <v>0</v>
      </c>
      <c r="L46" t="n">
        <v>0</v>
      </c>
      <c r="M46" t="n">
        <v>0</v>
      </c>
      <c r="N46" t="n">
        <v>0</v>
      </c>
      <c r="O46" t="n">
        <v>0</v>
      </c>
      <c r="P46" t="n">
        <v>0</v>
      </c>
      <c r="Q46" t="n">
        <v>0</v>
      </c>
      <c r="R46" s="2" t="inlineStr"/>
    </row>
    <row r="47" ht="15" customHeight="1">
      <c r="A47" t="inlineStr">
        <is>
          <t>A 49704-2024</t>
        </is>
      </c>
      <c r="B47" s="1" t="n">
        <v>45596</v>
      </c>
      <c r="C47" s="1" t="n">
        <v>45884</v>
      </c>
      <c r="D47" t="inlineStr">
        <is>
          <t>NORRBOTTENS LÄN</t>
        </is>
      </c>
      <c r="E47" t="inlineStr">
        <is>
          <t>KIRUNA</t>
        </is>
      </c>
      <c r="G47" t="n">
        <v>17.4</v>
      </c>
      <c r="H47" t="n">
        <v>0</v>
      </c>
      <c r="I47" t="n">
        <v>0</v>
      </c>
      <c r="J47" t="n">
        <v>0</v>
      </c>
      <c r="K47" t="n">
        <v>0</v>
      </c>
      <c r="L47" t="n">
        <v>0</v>
      </c>
      <c r="M47" t="n">
        <v>0</v>
      </c>
      <c r="N47" t="n">
        <v>0</v>
      </c>
      <c r="O47" t="n">
        <v>0</v>
      </c>
      <c r="P47" t="n">
        <v>0</v>
      </c>
      <c r="Q47" t="n">
        <v>0</v>
      </c>
      <c r="R47" s="2" t="inlineStr"/>
    </row>
    <row r="48" ht="15" customHeight="1">
      <c r="A48" t="inlineStr">
        <is>
          <t>A 22491-2024</t>
        </is>
      </c>
      <c r="B48" s="1" t="n">
        <v>45447</v>
      </c>
      <c r="C48" s="1" t="n">
        <v>45884</v>
      </c>
      <c r="D48" t="inlineStr">
        <is>
          <t>NORRBOTTENS LÄN</t>
        </is>
      </c>
      <c r="E48" t="inlineStr">
        <is>
          <t>KIRUNA</t>
        </is>
      </c>
      <c r="G48" t="n">
        <v>9</v>
      </c>
      <c r="H48" t="n">
        <v>0</v>
      </c>
      <c r="I48" t="n">
        <v>0</v>
      </c>
      <c r="J48" t="n">
        <v>0</v>
      </c>
      <c r="K48" t="n">
        <v>0</v>
      </c>
      <c r="L48" t="n">
        <v>0</v>
      </c>
      <c r="M48" t="n">
        <v>0</v>
      </c>
      <c r="N48" t="n">
        <v>0</v>
      </c>
      <c r="O48" t="n">
        <v>0</v>
      </c>
      <c r="P48" t="n">
        <v>0</v>
      </c>
      <c r="Q48" t="n">
        <v>0</v>
      </c>
      <c r="R48" s="2" t="inlineStr"/>
    </row>
    <row r="49" ht="15" customHeight="1">
      <c r="A49" t="inlineStr">
        <is>
          <t>A 22504-2024</t>
        </is>
      </c>
      <c r="B49" s="1" t="n">
        <v>45447</v>
      </c>
      <c r="C49" s="1" t="n">
        <v>45884</v>
      </c>
      <c r="D49" t="inlineStr">
        <is>
          <t>NORRBOTTENS LÄN</t>
        </is>
      </c>
      <c r="E49" t="inlineStr">
        <is>
          <t>KIRUNA</t>
        </is>
      </c>
      <c r="G49" t="n">
        <v>15.6</v>
      </c>
      <c r="H49" t="n">
        <v>0</v>
      </c>
      <c r="I49" t="n">
        <v>0</v>
      </c>
      <c r="J49" t="n">
        <v>0</v>
      </c>
      <c r="K49" t="n">
        <v>0</v>
      </c>
      <c r="L49" t="n">
        <v>0</v>
      </c>
      <c r="M49" t="n">
        <v>0</v>
      </c>
      <c r="N49" t="n">
        <v>0</v>
      </c>
      <c r="O49" t="n">
        <v>0</v>
      </c>
      <c r="P49" t="n">
        <v>0</v>
      </c>
      <c r="Q49" t="n">
        <v>0</v>
      </c>
      <c r="R49" s="2" t="inlineStr"/>
    </row>
    <row r="50" ht="15" customHeight="1">
      <c r="A50" t="inlineStr">
        <is>
          <t>A 29932-2021</t>
        </is>
      </c>
      <c r="B50" s="1" t="n">
        <v>44362</v>
      </c>
      <c r="C50" s="1" t="n">
        <v>45884</v>
      </c>
      <c r="D50" t="inlineStr">
        <is>
          <t>NORRBOTTENS LÄN</t>
        </is>
      </c>
      <c r="E50" t="inlineStr">
        <is>
          <t>KIRUNA</t>
        </is>
      </c>
      <c r="G50" t="n">
        <v>9.1</v>
      </c>
      <c r="H50" t="n">
        <v>0</v>
      </c>
      <c r="I50" t="n">
        <v>0</v>
      </c>
      <c r="J50" t="n">
        <v>0</v>
      </c>
      <c r="K50" t="n">
        <v>0</v>
      </c>
      <c r="L50" t="n">
        <v>0</v>
      </c>
      <c r="M50" t="n">
        <v>0</v>
      </c>
      <c r="N50" t="n">
        <v>0</v>
      </c>
      <c r="O50" t="n">
        <v>0</v>
      </c>
      <c r="P50" t="n">
        <v>0</v>
      </c>
      <c r="Q50" t="n">
        <v>0</v>
      </c>
      <c r="R50" s="2" t="inlineStr"/>
    </row>
    <row r="51" ht="15" customHeight="1">
      <c r="A51" t="inlineStr">
        <is>
          <t>A 62452-2022</t>
        </is>
      </c>
      <c r="B51" s="1" t="n">
        <v>44916</v>
      </c>
      <c r="C51" s="1" t="n">
        <v>45884</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45884</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45884</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38577-2024</t>
        </is>
      </c>
      <c r="B54" s="1" t="n">
        <v>45546</v>
      </c>
      <c r="C54" s="1" t="n">
        <v>45884</v>
      </c>
      <c r="D54" t="inlineStr">
        <is>
          <t>NORRBOTTENS LÄN</t>
        </is>
      </c>
      <c r="E54" t="inlineStr">
        <is>
          <t>KIRUNA</t>
        </is>
      </c>
      <c r="G54" t="n">
        <v>39.8</v>
      </c>
      <c r="H54" t="n">
        <v>0</v>
      </c>
      <c r="I54" t="n">
        <v>0</v>
      </c>
      <c r="J54" t="n">
        <v>0</v>
      </c>
      <c r="K54" t="n">
        <v>0</v>
      </c>
      <c r="L54" t="n">
        <v>0</v>
      </c>
      <c r="M54" t="n">
        <v>0</v>
      </c>
      <c r="N54" t="n">
        <v>0</v>
      </c>
      <c r="O54" t="n">
        <v>0</v>
      </c>
      <c r="P54" t="n">
        <v>0</v>
      </c>
      <c r="Q54" t="n">
        <v>0</v>
      </c>
      <c r="R54" s="2" t="inlineStr"/>
    </row>
    <row r="55" ht="15" customHeight="1">
      <c r="A55" t="inlineStr">
        <is>
          <t>A 5842-2023</t>
        </is>
      </c>
      <c r="B55" s="1" t="n">
        <v>44958</v>
      </c>
      <c r="C55" s="1" t="n">
        <v>45884</v>
      </c>
      <c r="D55" t="inlineStr">
        <is>
          <t>NORRBOTTENS LÄN</t>
        </is>
      </c>
      <c r="E55" t="inlineStr">
        <is>
          <t>KIRUNA</t>
        </is>
      </c>
      <c r="G55" t="n">
        <v>2.9</v>
      </c>
      <c r="H55" t="n">
        <v>0</v>
      </c>
      <c r="I55" t="n">
        <v>0</v>
      </c>
      <c r="J55" t="n">
        <v>0</v>
      </c>
      <c r="K55" t="n">
        <v>0</v>
      </c>
      <c r="L55" t="n">
        <v>0</v>
      </c>
      <c r="M55" t="n">
        <v>0</v>
      </c>
      <c r="N55" t="n">
        <v>0</v>
      </c>
      <c r="O55" t="n">
        <v>0</v>
      </c>
      <c r="P55" t="n">
        <v>0</v>
      </c>
      <c r="Q55" t="n">
        <v>0</v>
      </c>
      <c r="R55" s="2" t="inlineStr"/>
    </row>
    <row r="56" ht="15" customHeight="1">
      <c r="A56" t="inlineStr">
        <is>
          <t>A 5411-2024</t>
        </is>
      </c>
      <c r="B56" s="1" t="n">
        <v>45331</v>
      </c>
      <c r="C56" s="1" t="n">
        <v>45884</v>
      </c>
      <c r="D56" t="inlineStr">
        <is>
          <t>NORRBOTTENS LÄN</t>
        </is>
      </c>
      <c r="E56" t="inlineStr">
        <is>
          <t>KIRUNA</t>
        </is>
      </c>
      <c r="G56" t="n">
        <v>3.9</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45884</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45884</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45884</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23469-2022</t>
        </is>
      </c>
      <c r="B60" s="1" t="n">
        <v>44721</v>
      </c>
      <c r="C60" s="1" t="n">
        <v>45884</v>
      </c>
      <c r="D60" t="inlineStr">
        <is>
          <t>NORRBOTTENS LÄN</t>
        </is>
      </c>
      <c r="E60" t="inlineStr">
        <is>
          <t>KIRUNA</t>
        </is>
      </c>
      <c r="G60" t="n">
        <v>11.8</v>
      </c>
      <c r="H60" t="n">
        <v>0</v>
      </c>
      <c r="I60" t="n">
        <v>0</v>
      </c>
      <c r="J60" t="n">
        <v>0</v>
      </c>
      <c r="K60" t="n">
        <v>0</v>
      </c>
      <c r="L60" t="n">
        <v>0</v>
      </c>
      <c r="M60" t="n">
        <v>0</v>
      </c>
      <c r="N60" t="n">
        <v>0</v>
      </c>
      <c r="O60" t="n">
        <v>0</v>
      </c>
      <c r="P60" t="n">
        <v>0</v>
      </c>
      <c r="Q60" t="n">
        <v>0</v>
      </c>
      <c r="R60" s="2" t="inlineStr"/>
    </row>
    <row r="61" ht="15" customHeight="1">
      <c r="A61" t="inlineStr">
        <is>
          <t>A 18738-2022</t>
        </is>
      </c>
      <c r="B61" s="1" t="n">
        <v>44687</v>
      </c>
      <c r="C61" s="1" t="n">
        <v>45884</v>
      </c>
      <c r="D61" t="inlineStr">
        <is>
          <t>NORRBOTTENS LÄN</t>
        </is>
      </c>
      <c r="E61" t="inlineStr">
        <is>
          <t>KIRUNA</t>
        </is>
      </c>
      <c r="G61" t="n">
        <v>1.5</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45884</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5476-2024</t>
        </is>
      </c>
      <c r="B63" s="1" t="n">
        <v>45333</v>
      </c>
      <c r="C63" s="1" t="n">
        <v>45884</v>
      </c>
      <c r="D63" t="inlineStr">
        <is>
          <t>NORRBOTTENS LÄN</t>
        </is>
      </c>
      <c r="E63" t="inlineStr">
        <is>
          <t>KIRUNA</t>
        </is>
      </c>
      <c r="G63" t="n">
        <v>1.8</v>
      </c>
      <c r="H63" t="n">
        <v>0</v>
      </c>
      <c r="I63" t="n">
        <v>0</v>
      </c>
      <c r="J63" t="n">
        <v>0</v>
      </c>
      <c r="K63" t="n">
        <v>0</v>
      </c>
      <c r="L63" t="n">
        <v>0</v>
      </c>
      <c r="M63" t="n">
        <v>0</v>
      </c>
      <c r="N63" t="n">
        <v>0</v>
      </c>
      <c r="O63" t="n">
        <v>0</v>
      </c>
      <c r="P63" t="n">
        <v>0</v>
      </c>
      <c r="Q63" t="n">
        <v>0</v>
      </c>
      <c r="R63" s="2" t="inlineStr"/>
    </row>
    <row r="64" ht="15" customHeight="1">
      <c r="A64" t="inlineStr">
        <is>
          <t>A 34693-2022</t>
        </is>
      </c>
      <c r="B64" s="1" t="n">
        <v>44795</v>
      </c>
      <c r="C64" s="1" t="n">
        <v>45884</v>
      </c>
      <c r="D64" t="inlineStr">
        <is>
          <t>NORRBOTTENS LÄN</t>
        </is>
      </c>
      <c r="E64" t="inlineStr">
        <is>
          <t>KIRUNA</t>
        </is>
      </c>
      <c r="G64" t="n">
        <v>12.3</v>
      </c>
      <c r="H64" t="n">
        <v>0</v>
      </c>
      <c r="I64" t="n">
        <v>0</v>
      </c>
      <c r="J64" t="n">
        <v>0</v>
      </c>
      <c r="K64" t="n">
        <v>0</v>
      </c>
      <c r="L64" t="n">
        <v>0</v>
      </c>
      <c r="M64" t="n">
        <v>0</v>
      </c>
      <c r="N64" t="n">
        <v>0</v>
      </c>
      <c r="O64" t="n">
        <v>0</v>
      </c>
      <c r="P64" t="n">
        <v>0</v>
      </c>
      <c r="Q64" t="n">
        <v>0</v>
      </c>
      <c r="R64" s="2" t="inlineStr"/>
    </row>
    <row r="65" ht="15" customHeight="1">
      <c r="A65" t="inlineStr">
        <is>
          <t>A 18712-2025</t>
        </is>
      </c>
      <c r="B65" s="1" t="n">
        <v>45763</v>
      </c>
      <c r="C65" s="1" t="n">
        <v>45884</v>
      </c>
      <c r="D65" t="inlineStr">
        <is>
          <t>NORRBOTTENS LÄN</t>
        </is>
      </c>
      <c r="E65" t="inlineStr">
        <is>
          <t>KIRUNA</t>
        </is>
      </c>
      <c r="G65" t="n">
        <v>66.5</v>
      </c>
      <c r="H65" t="n">
        <v>0</v>
      </c>
      <c r="I65" t="n">
        <v>0</v>
      </c>
      <c r="J65" t="n">
        <v>0</v>
      </c>
      <c r="K65" t="n">
        <v>0</v>
      </c>
      <c r="L65" t="n">
        <v>0</v>
      </c>
      <c r="M65" t="n">
        <v>0</v>
      </c>
      <c r="N65" t="n">
        <v>0</v>
      </c>
      <c r="O65" t="n">
        <v>0</v>
      </c>
      <c r="P65" t="n">
        <v>0</v>
      </c>
      <c r="Q65" t="n">
        <v>0</v>
      </c>
      <c r="R65" s="2" t="inlineStr"/>
    </row>
    <row r="66" ht="15" customHeight="1">
      <c r="A66" t="inlineStr">
        <is>
          <t>A 56168-2023</t>
        </is>
      </c>
      <c r="B66" s="1" t="n">
        <v>45236</v>
      </c>
      <c r="C66" s="1" t="n">
        <v>45884</v>
      </c>
      <c r="D66" t="inlineStr">
        <is>
          <t>NORRBOTTENS LÄN</t>
        </is>
      </c>
      <c r="E66" t="inlineStr">
        <is>
          <t>KIRUNA</t>
        </is>
      </c>
      <c r="F66" t="inlineStr">
        <is>
          <t>Sveaskog</t>
        </is>
      </c>
      <c r="G66" t="n">
        <v>6.6</v>
      </c>
      <c r="H66" t="n">
        <v>0</v>
      </c>
      <c r="I66" t="n">
        <v>0</v>
      </c>
      <c r="J66" t="n">
        <v>0</v>
      </c>
      <c r="K66" t="n">
        <v>0</v>
      </c>
      <c r="L66" t="n">
        <v>0</v>
      </c>
      <c r="M66" t="n">
        <v>0</v>
      </c>
      <c r="N66" t="n">
        <v>0</v>
      </c>
      <c r="O66" t="n">
        <v>0</v>
      </c>
      <c r="P66" t="n">
        <v>0</v>
      </c>
      <c r="Q66" t="n">
        <v>0</v>
      </c>
      <c r="R66" s="2" t="inlineStr"/>
    </row>
    <row r="67" ht="15" customHeight="1">
      <c r="A67" t="inlineStr">
        <is>
          <t>A 63345-2020</t>
        </is>
      </c>
      <c r="B67" s="1" t="n">
        <v>44165</v>
      </c>
      <c r="C67" s="1" t="n">
        <v>45884</v>
      </c>
      <c r="D67" t="inlineStr">
        <is>
          <t>NORRBOTTENS LÄN</t>
        </is>
      </c>
      <c r="E67" t="inlineStr">
        <is>
          <t>KIRUNA</t>
        </is>
      </c>
      <c r="G67" t="n">
        <v>80.09999999999999</v>
      </c>
      <c r="H67" t="n">
        <v>0</v>
      </c>
      <c r="I67" t="n">
        <v>0</v>
      </c>
      <c r="J67" t="n">
        <v>0</v>
      </c>
      <c r="K67" t="n">
        <v>0</v>
      </c>
      <c r="L67" t="n">
        <v>0</v>
      </c>
      <c r="M67" t="n">
        <v>0</v>
      </c>
      <c r="N67" t="n">
        <v>0</v>
      </c>
      <c r="O67" t="n">
        <v>0</v>
      </c>
      <c r="P67" t="n">
        <v>0</v>
      </c>
      <c r="Q67" t="n">
        <v>0</v>
      </c>
      <c r="R67" s="2" t="inlineStr"/>
    </row>
    <row r="68" ht="15" customHeight="1">
      <c r="A68" t="inlineStr">
        <is>
          <t>A 22494-2024</t>
        </is>
      </c>
      <c r="B68" s="1" t="n">
        <v>45447</v>
      </c>
      <c r="C68" s="1" t="n">
        <v>45884</v>
      </c>
      <c r="D68" t="inlineStr">
        <is>
          <t>NORRBOTTENS LÄN</t>
        </is>
      </c>
      <c r="E68" t="inlineStr">
        <is>
          <t>KIRUNA</t>
        </is>
      </c>
      <c r="G68" t="n">
        <v>6</v>
      </c>
      <c r="H68" t="n">
        <v>0</v>
      </c>
      <c r="I68" t="n">
        <v>0</v>
      </c>
      <c r="J68" t="n">
        <v>0</v>
      </c>
      <c r="K68" t="n">
        <v>0</v>
      </c>
      <c r="L68" t="n">
        <v>0</v>
      </c>
      <c r="M68" t="n">
        <v>0</v>
      </c>
      <c r="N68" t="n">
        <v>0</v>
      </c>
      <c r="O68" t="n">
        <v>0</v>
      </c>
      <c r="P68" t="n">
        <v>0</v>
      </c>
      <c r="Q68" t="n">
        <v>0</v>
      </c>
      <c r="R68" s="2" t="inlineStr"/>
    </row>
    <row r="69" ht="15" customHeight="1">
      <c r="A69" t="inlineStr">
        <is>
          <t>A 41127-2023</t>
        </is>
      </c>
      <c r="B69" s="1" t="n">
        <v>45173</v>
      </c>
      <c r="C69" s="1" t="n">
        <v>45884</v>
      </c>
      <c r="D69" t="inlineStr">
        <is>
          <t>NORRBOTTENS LÄN</t>
        </is>
      </c>
      <c r="E69" t="inlineStr">
        <is>
          <t>KIRUNA</t>
        </is>
      </c>
      <c r="F69" t="inlineStr">
        <is>
          <t>SCA</t>
        </is>
      </c>
      <c r="G69" t="n">
        <v>1.3</v>
      </c>
      <c r="H69" t="n">
        <v>0</v>
      </c>
      <c r="I69" t="n">
        <v>0</v>
      </c>
      <c r="J69" t="n">
        <v>0</v>
      </c>
      <c r="K69" t="n">
        <v>0</v>
      </c>
      <c r="L69" t="n">
        <v>0</v>
      </c>
      <c r="M69" t="n">
        <v>0</v>
      </c>
      <c r="N69" t="n">
        <v>0</v>
      </c>
      <c r="O69" t="n">
        <v>0</v>
      </c>
      <c r="P69" t="n">
        <v>0</v>
      </c>
      <c r="Q69" t="n">
        <v>0</v>
      </c>
      <c r="R69" s="2" t="inlineStr"/>
    </row>
    <row r="70" ht="15" customHeight="1">
      <c r="A70" t="inlineStr">
        <is>
          <t>A 18721-2024</t>
        </is>
      </c>
      <c r="B70" s="1" t="n">
        <v>45426</v>
      </c>
      <c r="C70" s="1" t="n">
        <v>45884</v>
      </c>
      <c r="D70" t="inlineStr">
        <is>
          <t>NORRBOTTENS LÄN</t>
        </is>
      </c>
      <c r="E70" t="inlineStr">
        <is>
          <t>KIRUNA</t>
        </is>
      </c>
      <c r="G70" t="n">
        <v>62.1</v>
      </c>
      <c r="H70" t="n">
        <v>0</v>
      </c>
      <c r="I70" t="n">
        <v>0</v>
      </c>
      <c r="J70" t="n">
        <v>0</v>
      </c>
      <c r="K70" t="n">
        <v>0</v>
      </c>
      <c r="L70" t="n">
        <v>0</v>
      </c>
      <c r="M70" t="n">
        <v>0</v>
      </c>
      <c r="N70" t="n">
        <v>0</v>
      </c>
      <c r="O70" t="n">
        <v>0</v>
      </c>
      <c r="P70" t="n">
        <v>0</v>
      </c>
      <c r="Q70" t="n">
        <v>0</v>
      </c>
      <c r="R70" s="2" t="inlineStr"/>
    </row>
    <row r="71" ht="15" customHeight="1">
      <c r="A71" t="inlineStr">
        <is>
          <t>A 13526-2024</t>
        </is>
      </c>
      <c r="B71" s="1" t="n">
        <v>45387</v>
      </c>
      <c r="C71" s="1" t="n">
        <v>45884</v>
      </c>
      <c r="D71" t="inlineStr">
        <is>
          <t>NORRBOTTENS LÄN</t>
        </is>
      </c>
      <c r="E71" t="inlineStr">
        <is>
          <t>KIRUNA</t>
        </is>
      </c>
      <c r="G71" t="n">
        <v>8.199999999999999</v>
      </c>
      <c r="H71" t="n">
        <v>0</v>
      </c>
      <c r="I71" t="n">
        <v>0</v>
      </c>
      <c r="J71" t="n">
        <v>0</v>
      </c>
      <c r="K71" t="n">
        <v>0</v>
      </c>
      <c r="L71" t="n">
        <v>0</v>
      </c>
      <c r="M71" t="n">
        <v>0</v>
      </c>
      <c r="N71" t="n">
        <v>0</v>
      </c>
      <c r="O71" t="n">
        <v>0</v>
      </c>
      <c r="P71" t="n">
        <v>0</v>
      </c>
      <c r="Q71" t="n">
        <v>0</v>
      </c>
      <c r="R71" s="2" t="inlineStr"/>
    </row>
    <row r="72" ht="15" customHeight="1">
      <c r="A72" t="inlineStr">
        <is>
          <t>A 62439-2022</t>
        </is>
      </c>
      <c r="B72" s="1" t="n">
        <v>44916</v>
      </c>
      <c r="C72" s="1" t="n">
        <v>45884</v>
      </c>
      <c r="D72" t="inlineStr">
        <is>
          <t>NORRBOTTENS LÄN</t>
        </is>
      </c>
      <c r="E72" t="inlineStr">
        <is>
          <t>KIRUNA</t>
        </is>
      </c>
      <c r="G72" t="n">
        <v>3.2</v>
      </c>
      <c r="H72" t="n">
        <v>0</v>
      </c>
      <c r="I72" t="n">
        <v>0</v>
      </c>
      <c r="J72" t="n">
        <v>0</v>
      </c>
      <c r="K72" t="n">
        <v>0</v>
      </c>
      <c r="L72" t="n">
        <v>0</v>
      </c>
      <c r="M72" t="n">
        <v>0</v>
      </c>
      <c r="N72" t="n">
        <v>0</v>
      </c>
      <c r="O72" t="n">
        <v>0</v>
      </c>
      <c r="P72" t="n">
        <v>0</v>
      </c>
      <c r="Q72" t="n">
        <v>0</v>
      </c>
      <c r="R72" s="2" t="inlineStr"/>
    </row>
    <row r="73" ht="15" customHeight="1">
      <c r="A73" t="inlineStr">
        <is>
          <t>A 20764-2025</t>
        </is>
      </c>
      <c r="B73" s="1" t="n">
        <v>45776</v>
      </c>
      <c r="C73" s="1" t="n">
        <v>45884</v>
      </c>
      <c r="D73" t="inlineStr">
        <is>
          <t>NORRBOTTENS LÄN</t>
        </is>
      </c>
      <c r="E73" t="inlineStr">
        <is>
          <t>KIRUNA</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16024-2024</t>
        </is>
      </c>
      <c r="B74" s="1" t="n">
        <v>45405</v>
      </c>
      <c r="C74" s="1" t="n">
        <v>45884</v>
      </c>
      <c r="D74" t="inlineStr">
        <is>
          <t>NORRBOTTENS LÄN</t>
        </is>
      </c>
      <c r="E74" t="inlineStr">
        <is>
          <t>KIRUNA</t>
        </is>
      </c>
      <c r="G74" t="n">
        <v>2.3</v>
      </c>
      <c r="H74" t="n">
        <v>0</v>
      </c>
      <c r="I74" t="n">
        <v>0</v>
      </c>
      <c r="J74" t="n">
        <v>0</v>
      </c>
      <c r="K74" t="n">
        <v>0</v>
      </c>
      <c r="L74" t="n">
        <v>0</v>
      </c>
      <c r="M74" t="n">
        <v>0</v>
      </c>
      <c r="N74" t="n">
        <v>0</v>
      </c>
      <c r="O74" t="n">
        <v>0</v>
      </c>
      <c r="P74" t="n">
        <v>0</v>
      </c>
      <c r="Q74" t="n">
        <v>0</v>
      </c>
      <c r="R74" s="2" t="inlineStr"/>
    </row>
    <row r="75" ht="15" customHeight="1">
      <c r="A75" t="inlineStr">
        <is>
          <t>A 20770-2025</t>
        </is>
      </c>
      <c r="B75" s="1" t="n">
        <v>45776</v>
      </c>
      <c r="C75" s="1" t="n">
        <v>45884</v>
      </c>
      <c r="D75" t="inlineStr">
        <is>
          <t>NORRBOTTENS LÄN</t>
        </is>
      </c>
      <c r="E75" t="inlineStr">
        <is>
          <t>KIRUNA</t>
        </is>
      </c>
      <c r="F75" t="inlineStr">
        <is>
          <t>Sveaskog</t>
        </is>
      </c>
      <c r="G75" t="n">
        <v>5.5</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45884</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21184-2025</t>
        </is>
      </c>
      <c r="B77" s="1" t="n">
        <v>45777</v>
      </c>
      <c r="C77" s="1" t="n">
        <v>45884</v>
      </c>
      <c r="D77" t="inlineStr">
        <is>
          <t>NORRBOTTENS LÄN</t>
        </is>
      </c>
      <c r="E77" t="inlineStr">
        <is>
          <t>KIRUNA</t>
        </is>
      </c>
      <c r="G77" t="n">
        <v>20.1</v>
      </c>
      <c r="H77" t="n">
        <v>0</v>
      </c>
      <c r="I77" t="n">
        <v>0</v>
      </c>
      <c r="J77" t="n">
        <v>0</v>
      </c>
      <c r="K77" t="n">
        <v>0</v>
      </c>
      <c r="L77" t="n">
        <v>0</v>
      </c>
      <c r="M77" t="n">
        <v>0</v>
      </c>
      <c r="N77" t="n">
        <v>0</v>
      </c>
      <c r="O77" t="n">
        <v>0</v>
      </c>
      <c r="P77" t="n">
        <v>0</v>
      </c>
      <c r="Q77" t="n">
        <v>0</v>
      </c>
      <c r="R77" s="2" t="inlineStr"/>
    </row>
    <row r="78" ht="15" customHeight="1">
      <c r="A78" t="inlineStr">
        <is>
          <t>A 47730-2024</t>
        </is>
      </c>
      <c r="B78" s="1" t="n">
        <v>45588</v>
      </c>
      <c r="C78" s="1" t="n">
        <v>45884</v>
      </c>
      <c r="D78" t="inlineStr">
        <is>
          <t>NORRBOTTENS LÄN</t>
        </is>
      </c>
      <c r="E78" t="inlineStr">
        <is>
          <t>KIRUNA</t>
        </is>
      </c>
      <c r="F78" t="inlineStr">
        <is>
          <t>Allmännings- och besparingsskogar</t>
        </is>
      </c>
      <c r="G78" t="n">
        <v>3.7</v>
      </c>
      <c r="H78" t="n">
        <v>0</v>
      </c>
      <c r="I78" t="n">
        <v>0</v>
      </c>
      <c r="J78" t="n">
        <v>0</v>
      </c>
      <c r="K78" t="n">
        <v>0</v>
      </c>
      <c r="L78" t="n">
        <v>0</v>
      </c>
      <c r="M78" t="n">
        <v>0</v>
      </c>
      <c r="N78" t="n">
        <v>0</v>
      </c>
      <c r="O78" t="n">
        <v>0</v>
      </c>
      <c r="P78" t="n">
        <v>0</v>
      </c>
      <c r="Q78" t="n">
        <v>0</v>
      </c>
      <c r="R78" s="2" t="inlineStr"/>
    </row>
    <row r="79" ht="15" customHeight="1">
      <c r="A79" t="inlineStr">
        <is>
          <t>A 21112-2025</t>
        </is>
      </c>
      <c r="B79" s="1" t="n">
        <v>45777</v>
      </c>
      <c r="C79" s="1" t="n">
        <v>45884</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31536-2025</t>
        </is>
      </c>
      <c r="B80" s="1" t="n">
        <v>45833</v>
      </c>
      <c r="C80" s="1" t="n">
        <v>45884</v>
      </c>
      <c r="D80" t="inlineStr">
        <is>
          <t>NORRBOTTENS LÄN</t>
        </is>
      </c>
      <c r="E80" t="inlineStr">
        <is>
          <t>KIRUNA</t>
        </is>
      </c>
      <c r="F80" t="inlineStr">
        <is>
          <t>Övriga statliga verk och myndigheter</t>
        </is>
      </c>
      <c r="G80" t="n">
        <v>0.7</v>
      </c>
      <c r="H80" t="n">
        <v>0</v>
      </c>
      <c r="I80" t="n">
        <v>0</v>
      </c>
      <c r="J80" t="n">
        <v>0</v>
      </c>
      <c r="K80" t="n">
        <v>0</v>
      </c>
      <c r="L80" t="n">
        <v>0</v>
      </c>
      <c r="M80" t="n">
        <v>0</v>
      </c>
      <c r="N80" t="n">
        <v>0</v>
      </c>
      <c r="O80" t="n">
        <v>0</v>
      </c>
      <c r="P80" t="n">
        <v>0</v>
      </c>
      <c r="Q80" t="n">
        <v>0</v>
      </c>
      <c r="R80" s="2" t="inlineStr"/>
    </row>
    <row r="81" ht="15" customHeight="1">
      <c r="A81" t="inlineStr">
        <is>
          <t>A 61066-2024</t>
        </is>
      </c>
      <c r="B81" s="1" t="n">
        <v>45645.49744212963</v>
      </c>
      <c r="C81" s="1" t="n">
        <v>45884</v>
      </c>
      <c r="D81" t="inlineStr">
        <is>
          <t>NORRBOTTENS LÄN</t>
        </is>
      </c>
      <c r="E81" t="inlineStr">
        <is>
          <t>KIRUNA</t>
        </is>
      </c>
      <c r="G81" t="n">
        <v>4.5</v>
      </c>
      <c r="H81" t="n">
        <v>0</v>
      </c>
      <c r="I81" t="n">
        <v>0</v>
      </c>
      <c r="J81" t="n">
        <v>0</v>
      </c>
      <c r="K81" t="n">
        <v>0</v>
      </c>
      <c r="L81" t="n">
        <v>0</v>
      </c>
      <c r="M81" t="n">
        <v>0</v>
      </c>
      <c r="N81" t="n">
        <v>0</v>
      </c>
      <c r="O81" t="n">
        <v>0</v>
      </c>
      <c r="P81" t="n">
        <v>0</v>
      </c>
      <c r="Q81" t="n">
        <v>0</v>
      </c>
      <c r="R81" s="2" t="inlineStr"/>
    </row>
    <row r="82" ht="15" customHeight="1">
      <c r="A82" t="inlineStr">
        <is>
          <t>A 38331-2020</t>
        </is>
      </c>
      <c r="B82" s="1" t="n">
        <v>44060</v>
      </c>
      <c r="C82" s="1" t="n">
        <v>45884</v>
      </c>
      <c r="D82" t="inlineStr">
        <is>
          <t>NORRBOTTENS LÄN</t>
        </is>
      </c>
      <c r="E82" t="inlineStr">
        <is>
          <t>KIRUNA</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60064-2023</t>
        </is>
      </c>
      <c r="B83" s="1" t="n">
        <v>45258.3846412037</v>
      </c>
      <c r="C83" s="1" t="n">
        <v>45884</v>
      </c>
      <c r="D83" t="inlineStr">
        <is>
          <t>NORRBOTTENS LÄN</t>
        </is>
      </c>
      <c r="E83" t="inlineStr">
        <is>
          <t>KIRUNA</t>
        </is>
      </c>
      <c r="G83" t="n">
        <v>19.8</v>
      </c>
      <c r="H83" t="n">
        <v>0</v>
      </c>
      <c r="I83" t="n">
        <v>0</v>
      </c>
      <c r="J83" t="n">
        <v>0</v>
      </c>
      <c r="K83" t="n">
        <v>0</v>
      </c>
      <c r="L83" t="n">
        <v>0</v>
      </c>
      <c r="M83" t="n">
        <v>0</v>
      </c>
      <c r="N83" t="n">
        <v>0</v>
      </c>
      <c r="O83" t="n">
        <v>0</v>
      </c>
      <c r="P83" t="n">
        <v>0</v>
      </c>
      <c r="Q83" t="n">
        <v>0</v>
      </c>
      <c r="R83" s="2" t="inlineStr"/>
    </row>
    <row r="84" ht="15" customHeight="1">
      <c r="A84" t="inlineStr">
        <is>
          <t>A 50590-2023</t>
        </is>
      </c>
      <c r="B84" s="1" t="n">
        <v>45217.40167824074</v>
      </c>
      <c r="C84" s="1" t="n">
        <v>45884</v>
      </c>
      <c r="D84" t="inlineStr">
        <is>
          <t>NORRBOTTENS LÄN</t>
        </is>
      </c>
      <c r="E84" t="inlineStr">
        <is>
          <t>KIRUNA</t>
        </is>
      </c>
      <c r="G84" t="n">
        <v>1.3</v>
      </c>
      <c r="H84" t="n">
        <v>0</v>
      </c>
      <c r="I84" t="n">
        <v>0</v>
      </c>
      <c r="J84" t="n">
        <v>0</v>
      </c>
      <c r="K84" t="n">
        <v>0</v>
      </c>
      <c r="L84" t="n">
        <v>0</v>
      </c>
      <c r="M84" t="n">
        <v>0</v>
      </c>
      <c r="N84" t="n">
        <v>0</v>
      </c>
      <c r="O84" t="n">
        <v>0</v>
      </c>
      <c r="P84" t="n">
        <v>0</v>
      </c>
      <c r="Q84" t="n">
        <v>0</v>
      </c>
      <c r="R84" s="2" t="inlineStr"/>
    </row>
    <row r="85" ht="15" customHeight="1">
      <c r="A85" t="inlineStr">
        <is>
          <t>A 9069-2023</t>
        </is>
      </c>
      <c r="B85" s="1" t="n">
        <v>44979</v>
      </c>
      <c r="C85" s="1" t="n">
        <v>45884</v>
      </c>
      <c r="D85" t="inlineStr">
        <is>
          <t>NORRBOTTENS LÄN</t>
        </is>
      </c>
      <c r="E85" t="inlineStr">
        <is>
          <t>KIRUNA</t>
        </is>
      </c>
      <c r="F85" t="inlineStr">
        <is>
          <t>SCA</t>
        </is>
      </c>
      <c r="G85" t="n">
        <v>4</v>
      </c>
      <c r="H85" t="n">
        <v>0</v>
      </c>
      <c r="I85" t="n">
        <v>0</v>
      </c>
      <c r="J85" t="n">
        <v>0</v>
      </c>
      <c r="K85" t="n">
        <v>0</v>
      </c>
      <c r="L85" t="n">
        <v>0</v>
      </c>
      <c r="M85" t="n">
        <v>0</v>
      </c>
      <c r="N85" t="n">
        <v>0</v>
      </c>
      <c r="O85" t="n">
        <v>0</v>
      </c>
      <c r="P85" t="n">
        <v>0</v>
      </c>
      <c r="Q85" t="n">
        <v>0</v>
      </c>
      <c r="R85" s="2" t="inlineStr"/>
    </row>
    <row r="86" ht="15" customHeight="1">
      <c r="A86" t="inlineStr">
        <is>
          <t>A 20558-2025</t>
        </is>
      </c>
      <c r="B86" s="1" t="n">
        <v>45775</v>
      </c>
      <c r="C86" s="1" t="n">
        <v>45884</v>
      </c>
      <c r="D86" t="inlineStr">
        <is>
          <t>NORRBOTTENS LÄN</t>
        </is>
      </c>
      <c r="E86" t="inlineStr">
        <is>
          <t>KIRUNA</t>
        </is>
      </c>
      <c r="G86" t="n">
        <v>23.3</v>
      </c>
      <c r="H86" t="n">
        <v>0</v>
      </c>
      <c r="I86" t="n">
        <v>0</v>
      </c>
      <c r="J86" t="n">
        <v>0</v>
      </c>
      <c r="K86" t="n">
        <v>0</v>
      </c>
      <c r="L86" t="n">
        <v>0</v>
      </c>
      <c r="M86" t="n">
        <v>0</v>
      </c>
      <c r="N86" t="n">
        <v>0</v>
      </c>
      <c r="O86" t="n">
        <v>0</v>
      </c>
      <c r="P86" t="n">
        <v>0</v>
      </c>
      <c r="Q86" t="n">
        <v>0</v>
      </c>
      <c r="R86" s="2" t="inlineStr"/>
    </row>
    <row r="87" ht="15" customHeight="1">
      <c r="A87" t="inlineStr">
        <is>
          <t>A 34663-2025</t>
        </is>
      </c>
      <c r="B87" s="1" t="n">
        <v>45848.37454861111</v>
      </c>
      <c r="C87" s="1" t="n">
        <v>45884</v>
      </c>
      <c r="D87" t="inlineStr">
        <is>
          <t>NORRBOTTENS LÄN</t>
        </is>
      </c>
      <c r="E87" t="inlineStr">
        <is>
          <t>KIRUNA</t>
        </is>
      </c>
      <c r="G87" t="n">
        <v>5.1</v>
      </c>
      <c r="H87" t="n">
        <v>0</v>
      </c>
      <c r="I87" t="n">
        <v>0</v>
      </c>
      <c r="J87" t="n">
        <v>0</v>
      </c>
      <c r="K87" t="n">
        <v>0</v>
      </c>
      <c r="L87" t="n">
        <v>0</v>
      </c>
      <c r="M87" t="n">
        <v>0</v>
      </c>
      <c r="N87" t="n">
        <v>0</v>
      </c>
      <c r="O87" t="n">
        <v>0</v>
      </c>
      <c r="P87" t="n">
        <v>0</v>
      </c>
      <c r="Q87" t="n">
        <v>0</v>
      </c>
      <c r="R87" s="2" t="inlineStr"/>
    </row>
    <row r="88" ht="15" customHeight="1">
      <c r="A88" t="inlineStr">
        <is>
          <t>A 34664-2025</t>
        </is>
      </c>
      <c r="B88" s="1" t="n">
        <v>45848.37857638889</v>
      </c>
      <c r="C88" s="1" t="n">
        <v>45884</v>
      </c>
      <c r="D88" t="inlineStr">
        <is>
          <t>NORRBOTTENS LÄN</t>
        </is>
      </c>
      <c r="E88" t="inlineStr">
        <is>
          <t>KIRUNA</t>
        </is>
      </c>
      <c r="G88" t="n">
        <v>8.4</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45884</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18698-2025</t>
        </is>
      </c>
      <c r="B90" s="1" t="n">
        <v>45763</v>
      </c>
      <c r="C90" s="1" t="n">
        <v>45884</v>
      </c>
      <c r="D90" t="inlineStr">
        <is>
          <t>NORRBOTTENS LÄN</t>
        </is>
      </c>
      <c r="E90" t="inlineStr">
        <is>
          <t>KIRUNA</t>
        </is>
      </c>
      <c r="G90" t="n">
        <v>29.7</v>
      </c>
      <c r="H90" t="n">
        <v>0</v>
      </c>
      <c r="I90" t="n">
        <v>0</v>
      </c>
      <c r="J90" t="n">
        <v>0</v>
      </c>
      <c r="K90" t="n">
        <v>0</v>
      </c>
      <c r="L90" t="n">
        <v>0</v>
      </c>
      <c r="M90" t="n">
        <v>0</v>
      </c>
      <c r="N90" t="n">
        <v>0</v>
      </c>
      <c r="O90" t="n">
        <v>0</v>
      </c>
      <c r="P90" t="n">
        <v>0</v>
      </c>
      <c r="Q90" t="n">
        <v>0</v>
      </c>
      <c r="R90" s="2" t="inlineStr"/>
    </row>
    <row r="91">
      <c r="A91" t="inlineStr">
        <is>
          <t>A 33183-2025</t>
        </is>
      </c>
      <c r="B91" s="1" t="n">
        <v>45840.59206018518</v>
      </c>
      <c r="C91" s="1" t="n">
        <v>45884</v>
      </c>
      <c r="D91" t="inlineStr">
        <is>
          <t>NORRBOTTENS LÄN</t>
        </is>
      </c>
      <c r="E91" t="inlineStr">
        <is>
          <t>KIRUNA</t>
        </is>
      </c>
      <c r="G91" t="n">
        <v>2.8</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2025-08-15T08:24:23Z</dcterms:created>
  <dcterms:modified xmlns:dcterms="http://purl.org/dc/terms/" xmlns:xsi="http://www.w3.org/2001/XMLSchema-instance" xsi:type="dcterms:W3CDTF">2025-08-15T08:24:23Z</dcterms:modified>
</cp:coreProperties>
</file>