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46188</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46188</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46188</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46188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46188</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46188</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46188</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46188</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46188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46188</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46188</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46188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21183-2025</t>
        </is>
      </c>
      <c r="B14" s="1" t="n">
        <v>45779</v>
      </c>
      <c r="C14" s="1" t="n">
        <v>46188</v>
      </c>
      <c r="D14" t="inlineStr">
        <is>
          <t>NORRBOTTENS LÄN</t>
        </is>
      </c>
      <c r="E14" t="inlineStr">
        <is>
          <t>KIRUNA</t>
        </is>
      </c>
      <c r="G14" t="n">
        <v>31.9</v>
      </c>
      <c r="H14" t="n">
        <v>1</v>
      </c>
      <c r="I14" t="n">
        <v>0</v>
      </c>
      <c r="J14" t="n">
        <v>1</v>
      </c>
      <c r="K14" t="n">
        <v>0</v>
      </c>
      <c r="L14" t="n">
        <v>0</v>
      </c>
      <c r="M14" t="n">
        <v>0</v>
      </c>
      <c r="N14" t="n">
        <v>0</v>
      </c>
      <c r="O14" t="n">
        <v>1</v>
      </c>
      <c r="P14" t="n">
        <v>0</v>
      </c>
      <c r="Q14" t="n">
        <v>1</v>
      </c>
      <c r="R14" s="2" t="inlineStr">
        <is>
          <t>Venhavre</t>
        </is>
      </c>
      <c r="S14">
        <f>HYPERLINK("https://klasma.github.io/Logging_2584/artfynd/A 21183-2025 artfynd.xlsx", "A 21183-2025")</f>
        <v/>
      </c>
      <c r="T14">
        <f>HYPERLINK("https://klasma.github.io/Logging_2584/kartor/A 21183-2025 karta.png", "A 21183-2025")</f>
        <v/>
      </c>
      <c r="V14">
        <f>HYPERLINK("https://klasma.github.io/Logging_2584/klagomål/A 21183-2025 FSC-klagomål.docx", "A 21183-2025")</f>
        <v/>
      </c>
      <c r="W14">
        <f>HYPERLINK("https://klasma.github.io/Logging_2584/klagomålsmail/A 21183-2025 FSC-klagomål mail.docx", "A 21183-2025")</f>
        <v/>
      </c>
      <c r="X14">
        <f>HYPERLINK("https://klasma.github.io/Logging_2584/tillsyn/A 21183-2025 tillsynsbegäran.docx", "A 21183-2025")</f>
        <v/>
      </c>
      <c r="Y14">
        <f>HYPERLINK("https://klasma.github.io/Logging_2584/tillsynsmail/A 21183-2025 tillsynsbegäran mail.docx", "A 21183-2025")</f>
        <v/>
      </c>
    </row>
    <row r="15" ht="15" customHeight="1">
      <c r="A15" t="inlineStr">
        <is>
          <t>A 22495-2024</t>
        </is>
      </c>
      <c r="B15" s="1" t="n">
        <v>45447</v>
      </c>
      <c r="C15" s="1" t="n">
        <v>46188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17740-2023</t>
        </is>
      </c>
      <c r="B16" s="1" t="n">
        <v>45035</v>
      </c>
      <c r="C16" s="1" t="n">
        <v>46188</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16024-2024</t>
        </is>
      </c>
      <c r="B17" s="1" t="n">
        <v>45405</v>
      </c>
      <c r="C17" s="1" t="n">
        <v>46188</v>
      </c>
      <c r="D17" t="inlineStr">
        <is>
          <t>NORRBOTTENS LÄN</t>
        </is>
      </c>
      <c r="E17" t="inlineStr">
        <is>
          <t>KIRUNA</t>
        </is>
      </c>
      <c r="G17" t="n">
        <v>2.3</v>
      </c>
      <c r="H17" t="n">
        <v>0</v>
      </c>
      <c r="I17" t="n">
        <v>0</v>
      </c>
      <c r="J17" t="n">
        <v>1</v>
      </c>
      <c r="K17" t="n">
        <v>0</v>
      </c>
      <c r="L17" t="n">
        <v>0</v>
      </c>
      <c r="M17" t="n">
        <v>0</v>
      </c>
      <c r="N17" t="n">
        <v>0</v>
      </c>
      <c r="O17" t="n">
        <v>1</v>
      </c>
      <c r="P17" t="n">
        <v>0</v>
      </c>
      <c r="Q17" t="n">
        <v>1</v>
      </c>
      <c r="R17" s="2" t="inlineStr">
        <is>
          <t>Vedskivlav</t>
        </is>
      </c>
      <c r="S17">
        <f>HYPERLINK("https://klasma.github.io/Logging_2584/artfynd/A 16024-2024 artfynd.xlsx", "A 16024-2024")</f>
        <v/>
      </c>
      <c r="T17">
        <f>HYPERLINK("https://klasma.github.io/Logging_2584/kartor/A 16024-2024 karta.png", "A 16024-2024")</f>
        <v/>
      </c>
      <c r="V17">
        <f>HYPERLINK("https://klasma.github.io/Logging_2584/klagomål/A 16024-2024 FSC-klagomål.docx", "A 16024-2024")</f>
        <v/>
      </c>
      <c r="W17">
        <f>HYPERLINK("https://klasma.github.io/Logging_2584/klagomålsmail/A 16024-2024 FSC-klagomål mail.docx", "A 16024-2024")</f>
        <v/>
      </c>
      <c r="X17">
        <f>HYPERLINK("https://klasma.github.io/Logging_2584/tillsyn/A 16024-2024 tillsynsbegäran.docx", "A 16024-2024")</f>
        <v/>
      </c>
      <c r="Y17">
        <f>HYPERLINK("https://klasma.github.io/Logging_2584/tillsynsmail/A 16024-2024 tillsynsbegäran mail.docx", "A 16024-2024")</f>
        <v/>
      </c>
    </row>
    <row r="18" ht="15" customHeight="1">
      <c r="A18" t="inlineStr">
        <is>
          <t>A 32819-2021</t>
        </is>
      </c>
      <c r="B18" s="1" t="n">
        <v>44375</v>
      </c>
      <c r="C18" s="1" t="n">
        <v>46188</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46188</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46188</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46188</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46188</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10546-2022</t>
        </is>
      </c>
      <c r="B23" s="1" t="n">
        <v>44623</v>
      </c>
      <c r="C23" s="1" t="n">
        <v>46188</v>
      </c>
      <c r="D23" t="inlineStr">
        <is>
          <t>NORRBOTTENS LÄN</t>
        </is>
      </c>
      <c r="E23" t="inlineStr">
        <is>
          <t>KIRUNA</t>
        </is>
      </c>
      <c r="G23" t="n">
        <v>1.3</v>
      </c>
      <c r="H23" t="n">
        <v>0</v>
      </c>
      <c r="I23" t="n">
        <v>0</v>
      </c>
      <c r="J23" t="n">
        <v>0</v>
      </c>
      <c r="K23" t="n">
        <v>0</v>
      </c>
      <c r="L23" t="n">
        <v>0</v>
      </c>
      <c r="M23" t="n">
        <v>0</v>
      </c>
      <c r="N23" t="n">
        <v>0</v>
      </c>
      <c r="O23" t="n">
        <v>0</v>
      </c>
      <c r="P23" t="n">
        <v>0</v>
      </c>
      <c r="Q23" t="n">
        <v>0</v>
      </c>
      <c r="R23" s="2" t="inlineStr"/>
    </row>
    <row r="24" ht="15" customHeight="1">
      <c r="A24" t="inlineStr">
        <is>
          <t>A 10545-2022</t>
        </is>
      </c>
      <c r="B24" s="1" t="n">
        <v>44623.92326388889</v>
      </c>
      <c r="C24" s="1" t="n">
        <v>46188</v>
      </c>
      <c r="D24" t="inlineStr">
        <is>
          <t>NORRBOTTENS LÄN</t>
        </is>
      </c>
      <c r="E24" t="inlineStr">
        <is>
          <t>KIRUNA</t>
        </is>
      </c>
      <c r="G24" t="n">
        <v>4.6</v>
      </c>
      <c r="H24" t="n">
        <v>0</v>
      </c>
      <c r="I24" t="n">
        <v>0</v>
      </c>
      <c r="J24" t="n">
        <v>0</v>
      </c>
      <c r="K24" t="n">
        <v>0</v>
      </c>
      <c r="L24" t="n">
        <v>0</v>
      </c>
      <c r="M24" t="n">
        <v>0</v>
      </c>
      <c r="N24" t="n">
        <v>0</v>
      </c>
      <c r="O24" t="n">
        <v>0</v>
      </c>
      <c r="P24" t="n">
        <v>0</v>
      </c>
      <c r="Q24" t="n">
        <v>0</v>
      </c>
      <c r="R24" s="2" t="inlineStr"/>
    </row>
    <row r="25" ht="15" customHeight="1">
      <c r="A25" t="inlineStr">
        <is>
          <t>A 20578-2025</t>
        </is>
      </c>
      <c r="B25" s="1" t="n">
        <v>45775</v>
      </c>
      <c r="C25" s="1" t="n">
        <v>46188</v>
      </c>
      <c r="D25" t="inlineStr">
        <is>
          <t>NORRBOTTENS LÄN</t>
        </is>
      </c>
      <c r="E25" t="inlineStr">
        <is>
          <t>KIRUNA</t>
        </is>
      </c>
      <c r="F25" t="inlineStr">
        <is>
          <t>Sveaskog</t>
        </is>
      </c>
      <c r="G25" t="n">
        <v>12.5</v>
      </c>
      <c r="H25" t="n">
        <v>0</v>
      </c>
      <c r="I25" t="n">
        <v>0</v>
      </c>
      <c r="J25" t="n">
        <v>0</v>
      </c>
      <c r="K25" t="n">
        <v>0</v>
      </c>
      <c r="L25" t="n">
        <v>0</v>
      </c>
      <c r="M25" t="n">
        <v>0</v>
      </c>
      <c r="N25" t="n">
        <v>0</v>
      </c>
      <c r="O25" t="n">
        <v>0</v>
      </c>
      <c r="P25" t="n">
        <v>0</v>
      </c>
      <c r="Q25" t="n">
        <v>0</v>
      </c>
      <c r="R25" s="2" t="inlineStr"/>
    </row>
    <row r="26" ht="15" customHeight="1">
      <c r="A26" t="inlineStr">
        <is>
          <t>A 58860-2022</t>
        </is>
      </c>
      <c r="B26" s="1" t="n">
        <v>44896</v>
      </c>
      <c r="C26" s="1" t="n">
        <v>46188</v>
      </c>
      <c r="D26" t="inlineStr">
        <is>
          <t>NORRBOTTENS LÄN</t>
        </is>
      </c>
      <c r="E26" t="inlineStr">
        <is>
          <t>KIRUNA</t>
        </is>
      </c>
      <c r="G26" t="n">
        <v>0.3</v>
      </c>
      <c r="H26" t="n">
        <v>0</v>
      </c>
      <c r="I26" t="n">
        <v>0</v>
      </c>
      <c r="J26" t="n">
        <v>0</v>
      </c>
      <c r="K26" t="n">
        <v>0</v>
      </c>
      <c r="L26" t="n">
        <v>0</v>
      </c>
      <c r="M26" t="n">
        <v>0</v>
      </c>
      <c r="N26" t="n">
        <v>0</v>
      </c>
      <c r="O26" t="n">
        <v>0</v>
      </c>
      <c r="P26" t="n">
        <v>0</v>
      </c>
      <c r="Q26" t="n">
        <v>0</v>
      </c>
      <c r="R26" s="2" t="inlineStr"/>
    </row>
    <row r="27" ht="15" customHeight="1">
      <c r="A27" t="inlineStr">
        <is>
          <t>A 62439-2022</t>
        </is>
      </c>
      <c r="B27" s="1" t="n">
        <v>44916</v>
      </c>
      <c r="C27" s="1" t="n">
        <v>46188</v>
      </c>
      <c r="D27" t="inlineStr">
        <is>
          <t>NORRBOTTENS LÄN</t>
        </is>
      </c>
      <c r="E27" t="inlineStr">
        <is>
          <t>KIRUNA</t>
        </is>
      </c>
      <c r="G27" t="n">
        <v>3.2</v>
      </c>
      <c r="H27" t="n">
        <v>0</v>
      </c>
      <c r="I27" t="n">
        <v>0</v>
      </c>
      <c r="J27" t="n">
        <v>0</v>
      </c>
      <c r="K27" t="n">
        <v>0</v>
      </c>
      <c r="L27" t="n">
        <v>0</v>
      </c>
      <c r="M27" t="n">
        <v>0</v>
      </c>
      <c r="N27" t="n">
        <v>0</v>
      </c>
      <c r="O27" t="n">
        <v>0</v>
      </c>
      <c r="P27" t="n">
        <v>0</v>
      </c>
      <c r="Q27" t="n">
        <v>0</v>
      </c>
      <c r="R27" s="2" t="inlineStr"/>
    </row>
    <row r="28" ht="15" customHeight="1">
      <c r="A28" t="inlineStr">
        <is>
          <t>A 20770-2025</t>
        </is>
      </c>
      <c r="B28" s="1" t="n">
        <v>45776</v>
      </c>
      <c r="C28" s="1" t="n">
        <v>46188</v>
      </c>
      <c r="D28" t="inlineStr">
        <is>
          <t>NORRBOTTENS LÄN</t>
        </is>
      </c>
      <c r="E28" t="inlineStr">
        <is>
          <t>KIRUNA</t>
        </is>
      </c>
      <c r="F28" t="inlineStr">
        <is>
          <t>Sveaskog</t>
        </is>
      </c>
      <c r="G28" t="n">
        <v>5.5</v>
      </c>
      <c r="H28" t="n">
        <v>0</v>
      </c>
      <c r="I28" t="n">
        <v>0</v>
      </c>
      <c r="J28" t="n">
        <v>0</v>
      </c>
      <c r="K28" t="n">
        <v>0</v>
      </c>
      <c r="L28" t="n">
        <v>0</v>
      </c>
      <c r="M28" t="n">
        <v>0</v>
      </c>
      <c r="N28" t="n">
        <v>0</v>
      </c>
      <c r="O28" t="n">
        <v>0</v>
      </c>
      <c r="P28" t="n">
        <v>0</v>
      </c>
      <c r="Q28" t="n">
        <v>0</v>
      </c>
      <c r="R28" s="2" t="inlineStr"/>
    </row>
    <row r="29" ht="15" customHeight="1">
      <c r="A29" t="inlineStr">
        <is>
          <t>A 50338-2025</t>
        </is>
      </c>
      <c r="B29" s="1" t="n">
        <v>45944.52140046296</v>
      </c>
      <c r="C29" s="1" t="n">
        <v>46188</v>
      </c>
      <c r="D29" t="inlineStr">
        <is>
          <t>NORRBOTTENS LÄN</t>
        </is>
      </c>
      <c r="E29" t="inlineStr">
        <is>
          <t>KIRUNA</t>
        </is>
      </c>
      <c r="F29" t="inlineStr">
        <is>
          <t>SCA</t>
        </is>
      </c>
      <c r="G29" t="n">
        <v>22.6</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46188</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46188</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46188</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20893-2025</t>
        </is>
      </c>
      <c r="B33" s="1" t="n">
        <v>45776</v>
      </c>
      <c r="C33" s="1" t="n">
        <v>46188</v>
      </c>
      <c r="D33" t="inlineStr">
        <is>
          <t>NORRBOTTENS LÄN</t>
        </is>
      </c>
      <c r="E33" t="inlineStr">
        <is>
          <t>KIRUNA</t>
        </is>
      </c>
      <c r="G33" t="n">
        <v>27.3</v>
      </c>
      <c r="H33" t="n">
        <v>0</v>
      </c>
      <c r="I33" t="n">
        <v>0</v>
      </c>
      <c r="J33" t="n">
        <v>0</v>
      </c>
      <c r="K33" t="n">
        <v>0</v>
      </c>
      <c r="L33" t="n">
        <v>0</v>
      </c>
      <c r="M33" t="n">
        <v>0</v>
      </c>
      <c r="N33" t="n">
        <v>0</v>
      </c>
      <c r="O33" t="n">
        <v>0</v>
      </c>
      <c r="P33" t="n">
        <v>0</v>
      </c>
      <c r="Q33" t="n">
        <v>0</v>
      </c>
      <c r="R33" s="2" t="inlineStr"/>
    </row>
    <row r="34" ht="15" customHeight="1">
      <c r="A34" t="inlineStr">
        <is>
          <t>A 21184-2025</t>
        </is>
      </c>
      <c r="B34" s="1" t="n">
        <v>45777</v>
      </c>
      <c r="C34" s="1" t="n">
        <v>46188</v>
      </c>
      <c r="D34" t="inlineStr">
        <is>
          <t>NORRBOTTENS LÄN</t>
        </is>
      </c>
      <c r="E34" t="inlineStr">
        <is>
          <t>KIRUNA</t>
        </is>
      </c>
      <c r="G34" t="n">
        <v>20.1</v>
      </c>
      <c r="H34" t="n">
        <v>0</v>
      </c>
      <c r="I34" t="n">
        <v>0</v>
      </c>
      <c r="J34" t="n">
        <v>0</v>
      </c>
      <c r="K34" t="n">
        <v>0</v>
      </c>
      <c r="L34" t="n">
        <v>0</v>
      </c>
      <c r="M34" t="n">
        <v>0</v>
      </c>
      <c r="N34" t="n">
        <v>0</v>
      </c>
      <c r="O34" t="n">
        <v>0</v>
      </c>
      <c r="P34" t="n">
        <v>0</v>
      </c>
      <c r="Q34" t="n">
        <v>0</v>
      </c>
      <c r="R34" s="2" t="inlineStr"/>
    </row>
    <row r="35" ht="15" customHeight="1">
      <c r="A35" t="inlineStr">
        <is>
          <t>A 62460-2022</t>
        </is>
      </c>
      <c r="B35" s="1" t="n">
        <v>44916</v>
      </c>
      <c r="C35" s="1" t="n">
        <v>46188</v>
      </c>
      <c r="D35" t="inlineStr">
        <is>
          <t>NORRBOTTENS LÄN</t>
        </is>
      </c>
      <c r="E35" t="inlineStr">
        <is>
          <t>KIRUNA</t>
        </is>
      </c>
      <c r="G35" t="n">
        <v>13.4</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46188</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46188</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22491-2024</t>
        </is>
      </c>
      <c r="B38" s="1" t="n">
        <v>45447</v>
      </c>
      <c r="C38" s="1" t="n">
        <v>46188</v>
      </c>
      <c r="D38" t="inlineStr">
        <is>
          <t>NORRBOTTENS LÄN</t>
        </is>
      </c>
      <c r="E38" t="inlineStr">
        <is>
          <t>KIRUNA</t>
        </is>
      </c>
      <c r="G38" t="n">
        <v>9</v>
      </c>
      <c r="H38" t="n">
        <v>0</v>
      </c>
      <c r="I38" t="n">
        <v>0</v>
      </c>
      <c r="J38" t="n">
        <v>0</v>
      </c>
      <c r="K38" t="n">
        <v>0</v>
      </c>
      <c r="L38" t="n">
        <v>0</v>
      </c>
      <c r="M38" t="n">
        <v>0</v>
      </c>
      <c r="N38" t="n">
        <v>0</v>
      </c>
      <c r="O38" t="n">
        <v>0</v>
      </c>
      <c r="P38" t="n">
        <v>0</v>
      </c>
      <c r="Q38" t="n">
        <v>0</v>
      </c>
      <c r="R38" s="2" t="inlineStr"/>
    </row>
    <row r="39" ht="15" customHeight="1">
      <c r="A39" t="inlineStr">
        <is>
          <t>A 148-2026</t>
        </is>
      </c>
      <c r="B39" s="1" t="n">
        <v>46024.6446875</v>
      </c>
      <c r="C39" s="1" t="n">
        <v>46188</v>
      </c>
      <c r="D39" t="inlineStr">
        <is>
          <t>NORRBOTTENS LÄN</t>
        </is>
      </c>
      <c r="E39" t="inlineStr">
        <is>
          <t>KIRUNA</t>
        </is>
      </c>
      <c r="G39" t="n">
        <v>10.2</v>
      </c>
      <c r="H39" t="n">
        <v>0</v>
      </c>
      <c r="I39" t="n">
        <v>0</v>
      </c>
      <c r="J39" t="n">
        <v>0</v>
      </c>
      <c r="K39" t="n">
        <v>0</v>
      </c>
      <c r="L39" t="n">
        <v>0</v>
      </c>
      <c r="M39" t="n">
        <v>0</v>
      </c>
      <c r="N39" t="n">
        <v>0</v>
      </c>
      <c r="O39" t="n">
        <v>0</v>
      </c>
      <c r="P39" t="n">
        <v>0</v>
      </c>
      <c r="Q39" t="n">
        <v>0</v>
      </c>
      <c r="R39" s="2" t="inlineStr"/>
    </row>
    <row r="40" ht="15" customHeight="1">
      <c r="A40" t="inlineStr">
        <is>
          <t>A 61066-2024</t>
        </is>
      </c>
      <c r="B40" s="1" t="n">
        <v>45645.49744212963</v>
      </c>
      <c r="C40" s="1" t="n">
        <v>46188</v>
      </c>
      <c r="D40" t="inlineStr">
        <is>
          <t>NORRBOTTENS LÄN</t>
        </is>
      </c>
      <c r="E40" t="inlineStr">
        <is>
          <t>KIRUNA</t>
        </is>
      </c>
      <c r="G40" t="n">
        <v>4.5</v>
      </c>
      <c r="H40" t="n">
        <v>0</v>
      </c>
      <c r="I40" t="n">
        <v>0</v>
      </c>
      <c r="J40" t="n">
        <v>0</v>
      </c>
      <c r="K40" t="n">
        <v>0</v>
      </c>
      <c r="L40" t="n">
        <v>0</v>
      </c>
      <c r="M40" t="n">
        <v>0</v>
      </c>
      <c r="N40" t="n">
        <v>0</v>
      </c>
      <c r="O40" t="n">
        <v>0</v>
      </c>
      <c r="P40" t="n">
        <v>0</v>
      </c>
      <c r="Q40" t="n">
        <v>0</v>
      </c>
      <c r="R40" s="2" t="inlineStr"/>
    </row>
    <row r="41" ht="15" customHeight="1">
      <c r="A41" t="inlineStr">
        <is>
          <t>A 60064-2023</t>
        </is>
      </c>
      <c r="B41" s="1" t="n">
        <v>45258.3846412037</v>
      </c>
      <c r="C41" s="1" t="n">
        <v>46188</v>
      </c>
      <c r="D41" t="inlineStr">
        <is>
          <t>NORRBOTTENS LÄN</t>
        </is>
      </c>
      <c r="E41" t="inlineStr">
        <is>
          <t>KIRUNA</t>
        </is>
      </c>
      <c r="G41" t="n">
        <v>19.8</v>
      </c>
      <c r="H41" t="n">
        <v>0</v>
      </c>
      <c r="I41" t="n">
        <v>0</v>
      </c>
      <c r="J41" t="n">
        <v>0</v>
      </c>
      <c r="K41" t="n">
        <v>0</v>
      </c>
      <c r="L41" t="n">
        <v>0</v>
      </c>
      <c r="M41" t="n">
        <v>0</v>
      </c>
      <c r="N41" t="n">
        <v>0</v>
      </c>
      <c r="O41" t="n">
        <v>0</v>
      </c>
      <c r="P41" t="n">
        <v>0</v>
      </c>
      <c r="Q41" t="n">
        <v>0</v>
      </c>
      <c r="R41" s="2" t="inlineStr"/>
    </row>
    <row r="42" ht="15" customHeight="1">
      <c r="A42" t="inlineStr">
        <is>
          <t>A 50590-2023</t>
        </is>
      </c>
      <c r="B42" s="1" t="n">
        <v>45217.40167824074</v>
      </c>
      <c r="C42" s="1" t="n">
        <v>46188</v>
      </c>
      <c r="D42" t="inlineStr">
        <is>
          <t>NORRBOTTENS LÄN</t>
        </is>
      </c>
      <c r="E42" t="inlineStr">
        <is>
          <t>KIRUNA</t>
        </is>
      </c>
      <c r="G42" t="n">
        <v>1.3</v>
      </c>
      <c r="H42" t="n">
        <v>0</v>
      </c>
      <c r="I42" t="n">
        <v>0</v>
      </c>
      <c r="J42" t="n">
        <v>0</v>
      </c>
      <c r="K42" t="n">
        <v>0</v>
      </c>
      <c r="L42" t="n">
        <v>0</v>
      </c>
      <c r="M42" t="n">
        <v>0</v>
      </c>
      <c r="N42" t="n">
        <v>0</v>
      </c>
      <c r="O42" t="n">
        <v>0</v>
      </c>
      <c r="P42" t="n">
        <v>0</v>
      </c>
      <c r="Q42" t="n">
        <v>0</v>
      </c>
      <c r="R42" s="2" t="inlineStr"/>
    </row>
    <row r="43" ht="15" customHeight="1">
      <c r="A43" t="inlineStr">
        <is>
          <t>A 2664-2026</t>
        </is>
      </c>
      <c r="B43" s="1" t="n">
        <v>46037.64078703704</v>
      </c>
      <c r="C43" s="1" t="n">
        <v>46188</v>
      </c>
      <c r="D43" t="inlineStr">
        <is>
          <t>NORRBOTTENS LÄN</t>
        </is>
      </c>
      <c r="E43" t="inlineStr">
        <is>
          <t>KIRUNA</t>
        </is>
      </c>
      <c r="G43" t="n">
        <v>31.3</v>
      </c>
      <c r="H43" t="n">
        <v>0</v>
      </c>
      <c r="I43" t="n">
        <v>0</v>
      </c>
      <c r="J43" t="n">
        <v>0</v>
      </c>
      <c r="K43" t="n">
        <v>0</v>
      </c>
      <c r="L43" t="n">
        <v>0</v>
      </c>
      <c r="M43" t="n">
        <v>0</v>
      </c>
      <c r="N43" t="n">
        <v>0</v>
      </c>
      <c r="O43" t="n">
        <v>0</v>
      </c>
      <c r="P43" t="n">
        <v>0</v>
      </c>
      <c r="Q43" t="n">
        <v>0</v>
      </c>
      <c r="R43" s="2" t="inlineStr"/>
    </row>
    <row r="44" ht="15" customHeight="1">
      <c r="A44" t="inlineStr">
        <is>
          <t>A 2660-2026</t>
        </is>
      </c>
      <c r="B44" s="1" t="n">
        <v>46037</v>
      </c>
      <c r="C44" s="1" t="n">
        <v>46188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46188</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46188</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5411-2024</t>
        </is>
      </c>
      <c r="B47" s="1" t="n">
        <v>45331</v>
      </c>
      <c r="C47" s="1" t="n">
        <v>46188</v>
      </c>
      <c r="D47" t="inlineStr">
        <is>
          <t>NORRBOTTENS LÄN</t>
        </is>
      </c>
      <c r="E47" t="inlineStr">
        <is>
          <t>KIRUNA</t>
        </is>
      </c>
      <c r="G47" t="n">
        <v>3.9</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46188</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46188</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46188</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33183-2025</t>
        </is>
      </c>
      <c r="B51" s="1" t="n">
        <v>45840.59206018518</v>
      </c>
      <c r="C51" s="1" t="n">
        <v>46188</v>
      </c>
      <c r="D51" t="inlineStr">
        <is>
          <t>NORRBOTTENS LÄN</t>
        </is>
      </c>
      <c r="E51" t="inlineStr">
        <is>
          <t>KIRUNA</t>
        </is>
      </c>
      <c r="G51" t="n">
        <v>2.8</v>
      </c>
      <c r="H51" t="n">
        <v>0</v>
      </c>
      <c r="I51" t="n">
        <v>0</v>
      </c>
      <c r="J51" t="n">
        <v>0</v>
      </c>
      <c r="K51" t="n">
        <v>0</v>
      </c>
      <c r="L51" t="n">
        <v>0</v>
      </c>
      <c r="M51" t="n">
        <v>0</v>
      </c>
      <c r="N51" t="n">
        <v>0</v>
      </c>
      <c r="O51" t="n">
        <v>0</v>
      </c>
      <c r="P51" t="n">
        <v>0</v>
      </c>
      <c r="Q51" t="n">
        <v>0</v>
      </c>
      <c r="R51" s="2" t="inlineStr"/>
    </row>
    <row r="52" ht="15" customHeight="1">
      <c r="A52" t="inlineStr">
        <is>
          <t>A 34663-2025</t>
        </is>
      </c>
      <c r="B52" s="1" t="n">
        <v>45848.37454861111</v>
      </c>
      <c r="C52" s="1" t="n">
        <v>46188</v>
      </c>
      <c r="D52" t="inlineStr">
        <is>
          <t>NORRBOTTENS LÄN</t>
        </is>
      </c>
      <c r="E52" t="inlineStr">
        <is>
          <t>KIRUNA</t>
        </is>
      </c>
      <c r="G52" t="n">
        <v>5.1</v>
      </c>
      <c r="H52" t="n">
        <v>0</v>
      </c>
      <c r="I52" t="n">
        <v>0</v>
      </c>
      <c r="J52" t="n">
        <v>0</v>
      </c>
      <c r="K52" t="n">
        <v>0</v>
      </c>
      <c r="L52" t="n">
        <v>0</v>
      </c>
      <c r="M52" t="n">
        <v>0</v>
      </c>
      <c r="N52" t="n">
        <v>0</v>
      </c>
      <c r="O52" t="n">
        <v>0</v>
      </c>
      <c r="P52" t="n">
        <v>0</v>
      </c>
      <c r="Q52" t="n">
        <v>0</v>
      </c>
      <c r="R52" s="2" t="inlineStr"/>
    </row>
    <row r="53" ht="15" customHeight="1">
      <c r="A53" t="inlineStr">
        <is>
          <t>A 13405-2026</t>
        </is>
      </c>
      <c r="B53" s="1" t="n">
        <v>46094.4512962963</v>
      </c>
      <c r="C53" s="1" t="n">
        <v>46188</v>
      </c>
      <c r="D53" t="inlineStr">
        <is>
          <t>NORRBOTTENS LÄN</t>
        </is>
      </c>
      <c r="E53" t="inlineStr">
        <is>
          <t>KIRUNA</t>
        </is>
      </c>
      <c r="G53" t="n">
        <v>24.5</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46188</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34664-2025</t>
        </is>
      </c>
      <c r="B55" s="1" t="n">
        <v>45848.37857638889</v>
      </c>
      <c r="C55" s="1" t="n">
        <v>46188</v>
      </c>
      <c r="D55" t="inlineStr">
        <is>
          <t>NORRBOTTENS LÄN</t>
        </is>
      </c>
      <c r="E55" t="inlineStr">
        <is>
          <t>KIRUNA</t>
        </is>
      </c>
      <c r="G55" t="n">
        <v>8.4</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46188</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56168-2023</t>
        </is>
      </c>
      <c r="B57" s="1" t="n">
        <v>45236</v>
      </c>
      <c r="C57" s="1" t="n">
        <v>46188</v>
      </c>
      <c r="D57" t="inlineStr">
        <is>
          <t>NORRBOTTENS LÄN</t>
        </is>
      </c>
      <c r="E57" t="inlineStr">
        <is>
          <t>KIRUNA</t>
        </is>
      </c>
      <c r="F57" t="inlineStr">
        <is>
          <t>Sveaskog</t>
        </is>
      </c>
      <c r="G57" t="n">
        <v>6.6</v>
      </c>
      <c r="H57" t="n">
        <v>0</v>
      </c>
      <c r="I57" t="n">
        <v>0</v>
      </c>
      <c r="J57" t="n">
        <v>0</v>
      </c>
      <c r="K57" t="n">
        <v>0</v>
      </c>
      <c r="L57" t="n">
        <v>0</v>
      </c>
      <c r="M57" t="n">
        <v>0</v>
      </c>
      <c r="N57" t="n">
        <v>0</v>
      </c>
      <c r="O57" t="n">
        <v>0</v>
      </c>
      <c r="P57" t="n">
        <v>0</v>
      </c>
      <c r="Q57" t="n">
        <v>0</v>
      </c>
      <c r="R57" s="2" t="inlineStr"/>
    </row>
    <row r="58" ht="15" customHeight="1">
      <c r="A58" t="inlineStr">
        <is>
          <t>A 22494-2024</t>
        </is>
      </c>
      <c r="B58" s="1" t="n">
        <v>45447</v>
      </c>
      <c r="C58" s="1" t="n">
        <v>46188</v>
      </c>
      <c r="D58" t="inlineStr">
        <is>
          <t>NORRBOTTENS LÄN</t>
        </is>
      </c>
      <c r="E58" t="inlineStr">
        <is>
          <t>KIRUNA</t>
        </is>
      </c>
      <c r="G58" t="n">
        <v>6</v>
      </c>
      <c r="H58" t="n">
        <v>0</v>
      </c>
      <c r="I58" t="n">
        <v>0</v>
      </c>
      <c r="J58" t="n">
        <v>0</v>
      </c>
      <c r="K58" t="n">
        <v>0</v>
      </c>
      <c r="L58" t="n">
        <v>0</v>
      </c>
      <c r="M58" t="n">
        <v>0</v>
      </c>
      <c r="N58" t="n">
        <v>0</v>
      </c>
      <c r="O58" t="n">
        <v>0</v>
      </c>
      <c r="P58" t="n">
        <v>0</v>
      </c>
      <c r="Q58" t="n">
        <v>0</v>
      </c>
      <c r="R58" s="2" t="inlineStr"/>
    </row>
    <row r="59" ht="15" customHeight="1">
      <c r="A59" t="inlineStr">
        <is>
          <t>A 16197-2026</t>
        </is>
      </c>
      <c r="B59" s="1" t="n">
        <v>46108</v>
      </c>
      <c r="C59" s="1" t="n">
        <v>46188</v>
      </c>
      <c r="D59" t="inlineStr">
        <is>
          <t>NORRBOTTENS LÄN</t>
        </is>
      </c>
      <c r="E59" t="inlineStr">
        <is>
          <t>KIRUNA</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18388-2026</t>
        </is>
      </c>
      <c r="B60" s="1" t="n">
        <v>46126.65371527777</v>
      </c>
      <c r="C60" s="1" t="n">
        <v>46188</v>
      </c>
      <c r="D60" t="inlineStr">
        <is>
          <t>NORRBOTTENS LÄN</t>
        </is>
      </c>
      <c r="E60" t="inlineStr">
        <is>
          <t>KIRUNA</t>
        </is>
      </c>
      <c r="G60" t="n">
        <v>5.2</v>
      </c>
      <c r="H60" t="n">
        <v>0</v>
      </c>
      <c r="I60" t="n">
        <v>0</v>
      </c>
      <c r="J60" t="n">
        <v>0</v>
      </c>
      <c r="K60" t="n">
        <v>0</v>
      </c>
      <c r="L60" t="n">
        <v>0</v>
      </c>
      <c r="M60" t="n">
        <v>0</v>
      </c>
      <c r="N60" t="n">
        <v>0</v>
      </c>
      <c r="O60" t="n">
        <v>0</v>
      </c>
      <c r="P60" t="n">
        <v>0</v>
      </c>
      <c r="Q60" t="n">
        <v>0</v>
      </c>
      <c r="R60" s="2" t="inlineStr"/>
    </row>
    <row r="61" ht="15" customHeight="1">
      <c r="A61" t="inlineStr">
        <is>
          <t>A 12937-2026</t>
        </is>
      </c>
      <c r="B61" s="1" t="n">
        <v>46092</v>
      </c>
      <c r="C61" s="1" t="n">
        <v>46188</v>
      </c>
      <c r="D61" t="inlineStr">
        <is>
          <t>NORRBOTTENS LÄN</t>
        </is>
      </c>
      <c r="E61" t="inlineStr">
        <is>
          <t>KIRUNA</t>
        </is>
      </c>
      <c r="G61" t="n">
        <v>37.2</v>
      </c>
      <c r="H61" t="n">
        <v>0</v>
      </c>
      <c r="I61" t="n">
        <v>0</v>
      </c>
      <c r="J61" t="n">
        <v>0</v>
      </c>
      <c r="K61" t="n">
        <v>0</v>
      </c>
      <c r="L61" t="n">
        <v>0</v>
      </c>
      <c r="M61" t="n">
        <v>0</v>
      </c>
      <c r="N61" t="n">
        <v>0</v>
      </c>
      <c r="O61" t="n">
        <v>0</v>
      </c>
      <c r="P61" t="n">
        <v>0</v>
      </c>
      <c r="Q61" t="n">
        <v>0</v>
      </c>
      <c r="R61" s="2" t="inlineStr"/>
    </row>
    <row r="62" ht="15" customHeight="1">
      <c r="A62" t="inlineStr">
        <is>
          <t>A 12969-2026</t>
        </is>
      </c>
      <c r="B62" s="1" t="n">
        <v>46092</v>
      </c>
      <c r="C62" s="1" t="n">
        <v>46188</v>
      </c>
      <c r="D62" t="inlineStr">
        <is>
          <t>NORRBOTTENS LÄN</t>
        </is>
      </c>
      <c r="E62" t="inlineStr">
        <is>
          <t>KIRUNA</t>
        </is>
      </c>
      <c r="G62" t="n">
        <v>5</v>
      </c>
      <c r="H62" t="n">
        <v>0</v>
      </c>
      <c r="I62" t="n">
        <v>0</v>
      </c>
      <c r="J62" t="n">
        <v>0</v>
      </c>
      <c r="K62" t="n">
        <v>0</v>
      </c>
      <c r="L62" t="n">
        <v>0</v>
      </c>
      <c r="M62" t="n">
        <v>0</v>
      </c>
      <c r="N62" t="n">
        <v>0</v>
      </c>
      <c r="O62" t="n">
        <v>0</v>
      </c>
      <c r="P62" t="n">
        <v>0</v>
      </c>
      <c r="Q62" t="n">
        <v>0</v>
      </c>
      <c r="R62" s="2" t="inlineStr"/>
    </row>
    <row r="63" ht="15" customHeight="1">
      <c r="A63" t="inlineStr">
        <is>
          <t>A 12984-2026</t>
        </is>
      </c>
      <c r="B63" s="1" t="n">
        <v>46092</v>
      </c>
      <c r="C63" s="1" t="n">
        <v>46188</v>
      </c>
      <c r="D63" t="inlineStr">
        <is>
          <t>NORRBOTTENS LÄN</t>
        </is>
      </c>
      <c r="E63" t="inlineStr">
        <is>
          <t>KIRUNA</t>
        </is>
      </c>
      <c r="G63" t="n">
        <v>18.2</v>
      </c>
      <c r="H63" t="n">
        <v>0</v>
      </c>
      <c r="I63" t="n">
        <v>0</v>
      </c>
      <c r="J63" t="n">
        <v>0</v>
      </c>
      <c r="K63" t="n">
        <v>0</v>
      </c>
      <c r="L63" t="n">
        <v>0</v>
      </c>
      <c r="M63" t="n">
        <v>0</v>
      </c>
      <c r="N63" t="n">
        <v>0</v>
      </c>
      <c r="O63" t="n">
        <v>0</v>
      </c>
      <c r="P63" t="n">
        <v>0</v>
      </c>
      <c r="Q63" t="n">
        <v>0</v>
      </c>
      <c r="R63" s="2" t="inlineStr"/>
    </row>
    <row r="64" ht="15" customHeight="1">
      <c r="A64" t="inlineStr">
        <is>
          <t>A 47730-2024</t>
        </is>
      </c>
      <c r="B64" s="1" t="n">
        <v>45588</v>
      </c>
      <c r="C64" s="1" t="n">
        <v>46188</v>
      </c>
      <c r="D64" t="inlineStr">
        <is>
          <t>NORRBOTTENS LÄN</t>
        </is>
      </c>
      <c r="E64" t="inlineStr">
        <is>
          <t>KIRUNA</t>
        </is>
      </c>
      <c r="F64" t="inlineStr">
        <is>
          <t>Allmännings- och besparingsskogar</t>
        </is>
      </c>
      <c r="G64" t="n">
        <v>3.7</v>
      </c>
      <c r="H64" t="n">
        <v>0</v>
      </c>
      <c r="I64" t="n">
        <v>0</v>
      </c>
      <c r="J64" t="n">
        <v>0</v>
      </c>
      <c r="K64" t="n">
        <v>0</v>
      </c>
      <c r="L64" t="n">
        <v>0</v>
      </c>
      <c r="M64" t="n">
        <v>0</v>
      </c>
      <c r="N64" t="n">
        <v>0</v>
      </c>
      <c r="O64" t="n">
        <v>0</v>
      </c>
      <c r="P64" t="n">
        <v>0</v>
      </c>
      <c r="Q64" t="n">
        <v>0</v>
      </c>
      <c r="R64" s="2" t="inlineStr"/>
    </row>
    <row r="65" ht="15" customHeight="1">
      <c r="A65" t="inlineStr">
        <is>
          <t>A 9069-2023</t>
        </is>
      </c>
      <c r="B65" s="1" t="n">
        <v>44979</v>
      </c>
      <c r="C65" s="1" t="n">
        <v>46188</v>
      </c>
      <c r="D65" t="inlineStr">
        <is>
          <t>NORRBOTTENS LÄN</t>
        </is>
      </c>
      <c r="E65" t="inlineStr">
        <is>
          <t>KIRUNA</t>
        </is>
      </c>
      <c r="F65" t="inlineStr">
        <is>
          <t>SCA</t>
        </is>
      </c>
      <c r="G65" t="n">
        <v>4</v>
      </c>
      <c r="H65" t="n">
        <v>0</v>
      </c>
      <c r="I65" t="n">
        <v>0</v>
      </c>
      <c r="J65" t="n">
        <v>0</v>
      </c>
      <c r="K65" t="n">
        <v>0</v>
      </c>
      <c r="L65" t="n">
        <v>0</v>
      </c>
      <c r="M65" t="n">
        <v>0</v>
      </c>
      <c r="N65" t="n">
        <v>0</v>
      </c>
      <c r="O65" t="n">
        <v>0</v>
      </c>
      <c r="P65" t="n">
        <v>0</v>
      </c>
      <c r="Q65" t="n">
        <v>0</v>
      </c>
      <c r="R65" s="2" t="inlineStr"/>
    </row>
    <row r="66" ht="15" customHeight="1">
      <c r="A66" t="inlineStr">
        <is>
          <t>A 20558-2025</t>
        </is>
      </c>
      <c r="B66" s="1" t="n">
        <v>45775</v>
      </c>
      <c r="C66" s="1" t="n">
        <v>46188</v>
      </c>
      <c r="D66" t="inlineStr">
        <is>
          <t>NORRBOTTENS LÄN</t>
        </is>
      </c>
      <c r="E66" t="inlineStr">
        <is>
          <t>KIRUNA</t>
        </is>
      </c>
      <c r="G66" t="n">
        <v>23.3</v>
      </c>
      <c r="H66" t="n">
        <v>0</v>
      </c>
      <c r="I66" t="n">
        <v>0</v>
      </c>
      <c r="J66" t="n">
        <v>0</v>
      </c>
      <c r="K66" t="n">
        <v>0</v>
      </c>
      <c r="L66" t="n">
        <v>0</v>
      </c>
      <c r="M66" t="n">
        <v>0</v>
      </c>
      <c r="N66" t="n">
        <v>0</v>
      </c>
      <c r="O66" t="n">
        <v>0</v>
      </c>
      <c r="P66" t="n">
        <v>0</v>
      </c>
      <c r="Q66" t="n">
        <v>0</v>
      </c>
      <c r="R66" s="2" t="inlineStr"/>
    </row>
    <row r="67" ht="15" customHeight="1">
      <c r="A67" t="inlineStr">
        <is>
          <t>A 39006-2023</t>
        </is>
      </c>
      <c r="B67" s="1" t="n">
        <v>45162</v>
      </c>
      <c r="C67" s="1" t="n">
        <v>46188</v>
      </c>
      <c r="D67" t="inlineStr">
        <is>
          <t>NORRBOTTENS LÄN</t>
        </is>
      </c>
      <c r="E67" t="inlineStr">
        <is>
          <t>KIRUNA</t>
        </is>
      </c>
      <c r="G67" t="n">
        <v>1.6</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46188</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18737-2023</t>
        </is>
      </c>
      <c r="B69" s="1" t="n">
        <v>45042</v>
      </c>
      <c r="C69" s="1" t="n">
        <v>46188</v>
      </c>
      <c r="D69" t="inlineStr">
        <is>
          <t>NORRBOTTENS LÄN</t>
        </is>
      </c>
      <c r="E69" t="inlineStr">
        <is>
          <t>KIRUNA</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21268-2026</t>
        </is>
      </c>
      <c r="B70" s="1" t="n">
        <v>46147</v>
      </c>
      <c r="C70" s="1" t="n">
        <v>46188</v>
      </c>
      <c r="D70" t="inlineStr">
        <is>
          <t>NORRBOTTENS LÄN</t>
        </is>
      </c>
      <c r="E70" t="inlineStr">
        <is>
          <t>KIRUNA</t>
        </is>
      </c>
      <c r="G70" t="n">
        <v>35.7</v>
      </c>
      <c r="H70" t="n">
        <v>0</v>
      </c>
      <c r="I70" t="n">
        <v>0</v>
      </c>
      <c r="J70" t="n">
        <v>0</v>
      </c>
      <c r="K70" t="n">
        <v>0</v>
      </c>
      <c r="L70" t="n">
        <v>0</v>
      </c>
      <c r="M70" t="n">
        <v>0</v>
      </c>
      <c r="N70" t="n">
        <v>0</v>
      </c>
      <c r="O70" t="n">
        <v>0</v>
      </c>
      <c r="P70" t="n">
        <v>0</v>
      </c>
      <c r="Q70" t="n">
        <v>0</v>
      </c>
      <c r="R70" s="2" t="inlineStr"/>
    </row>
    <row r="71" ht="15" customHeight="1">
      <c r="A71" t="inlineStr">
        <is>
          <t>A 8350-2025</t>
        </is>
      </c>
      <c r="B71" s="1" t="n">
        <v>45708</v>
      </c>
      <c r="C71" s="1" t="n">
        <v>46188</v>
      </c>
      <c r="D71" t="inlineStr">
        <is>
          <t>NORRBOTTENS LÄN</t>
        </is>
      </c>
      <c r="E71" t="inlineStr">
        <is>
          <t>KIRUNA</t>
        </is>
      </c>
      <c r="F71" t="inlineStr">
        <is>
          <t>Övriga statliga verk och myndigheter</t>
        </is>
      </c>
      <c r="G71" t="n">
        <v>0.8</v>
      </c>
      <c r="H71" t="n">
        <v>0</v>
      </c>
      <c r="I71" t="n">
        <v>0</v>
      </c>
      <c r="J71" t="n">
        <v>0</v>
      </c>
      <c r="K71" t="n">
        <v>0</v>
      </c>
      <c r="L71" t="n">
        <v>0</v>
      </c>
      <c r="M71" t="n">
        <v>0</v>
      </c>
      <c r="N71" t="n">
        <v>0</v>
      </c>
      <c r="O71" t="n">
        <v>0</v>
      </c>
      <c r="P71" t="n">
        <v>0</v>
      </c>
      <c r="Q71" t="n">
        <v>0</v>
      </c>
      <c r="R71" s="2" t="inlineStr"/>
    </row>
    <row r="72" ht="15" customHeight="1">
      <c r="A72" t="inlineStr">
        <is>
          <t>A 22504-2024</t>
        </is>
      </c>
      <c r="B72" s="1" t="n">
        <v>45447</v>
      </c>
      <c r="C72" s="1" t="n">
        <v>46188</v>
      </c>
      <c r="D72" t="inlineStr">
        <is>
          <t>NORRBOTTENS LÄN</t>
        </is>
      </c>
      <c r="E72" t="inlineStr">
        <is>
          <t>KIRUNA</t>
        </is>
      </c>
      <c r="G72" t="n">
        <v>15.6</v>
      </c>
      <c r="H72" t="n">
        <v>0</v>
      </c>
      <c r="I72" t="n">
        <v>0</v>
      </c>
      <c r="J72" t="n">
        <v>0</v>
      </c>
      <c r="K72" t="n">
        <v>0</v>
      </c>
      <c r="L72" t="n">
        <v>0</v>
      </c>
      <c r="M72" t="n">
        <v>0</v>
      </c>
      <c r="N72" t="n">
        <v>0</v>
      </c>
      <c r="O72" t="n">
        <v>0</v>
      </c>
      <c r="P72" t="n">
        <v>0</v>
      </c>
      <c r="Q72" t="n">
        <v>0</v>
      </c>
      <c r="R72" s="2" t="inlineStr"/>
    </row>
    <row r="73" ht="15" customHeight="1">
      <c r="A73" t="inlineStr">
        <is>
          <t>A 29932-2021</t>
        </is>
      </c>
      <c r="B73" s="1" t="n">
        <v>44362</v>
      </c>
      <c r="C73" s="1" t="n">
        <v>46188</v>
      </c>
      <c r="D73" t="inlineStr">
        <is>
          <t>NORRBOTTENS LÄN</t>
        </is>
      </c>
      <c r="E73" t="inlineStr">
        <is>
          <t>KIRUNA</t>
        </is>
      </c>
      <c r="G73" t="n">
        <v>9.1</v>
      </c>
      <c r="H73" t="n">
        <v>0</v>
      </c>
      <c r="I73" t="n">
        <v>0</v>
      </c>
      <c r="J73" t="n">
        <v>0</v>
      </c>
      <c r="K73" t="n">
        <v>0</v>
      </c>
      <c r="L73" t="n">
        <v>0</v>
      </c>
      <c r="M73" t="n">
        <v>0</v>
      </c>
      <c r="N73" t="n">
        <v>0</v>
      </c>
      <c r="O73" t="n">
        <v>0</v>
      </c>
      <c r="P73" t="n">
        <v>0</v>
      </c>
      <c r="Q73" t="n">
        <v>0</v>
      </c>
      <c r="R73" s="2" t="inlineStr"/>
    </row>
    <row r="74" ht="15" customHeight="1">
      <c r="A74" t="inlineStr">
        <is>
          <t>A 62452-2022</t>
        </is>
      </c>
      <c r="B74" s="1" t="n">
        <v>44916</v>
      </c>
      <c r="C74" s="1" t="n">
        <v>46188</v>
      </c>
      <c r="D74" t="inlineStr">
        <is>
          <t>NORRBOTTENS LÄN</t>
        </is>
      </c>
      <c r="E74" t="inlineStr">
        <is>
          <t>KIRUNA</t>
        </is>
      </c>
      <c r="G74" t="n">
        <v>7.2</v>
      </c>
      <c r="H74" t="n">
        <v>0</v>
      </c>
      <c r="I74" t="n">
        <v>0</v>
      </c>
      <c r="J74" t="n">
        <v>0</v>
      </c>
      <c r="K74" t="n">
        <v>0</v>
      </c>
      <c r="L74" t="n">
        <v>0</v>
      </c>
      <c r="M74" t="n">
        <v>0</v>
      </c>
      <c r="N74" t="n">
        <v>0</v>
      </c>
      <c r="O74" t="n">
        <v>0</v>
      </c>
      <c r="P74" t="n">
        <v>0</v>
      </c>
      <c r="Q74" t="n">
        <v>0</v>
      </c>
      <c r="R74" s="2" t="inlineStr"/>
    </row>
    <row r="75" ht="15" customHeight="1">
      <c r="A75" t="inlineStr">
        <is>
          <t>A 38577-2024</t>
        </is>
      </c>
      <c r="B75" s="1" t="n">
        <v>45546</v>
      </c>
      <c r="C75" s="1" t="n">
        <v>46188</v>
      </c>
      <c r="D75" t="inlineStr">
        <is>
          <t>NORRBOTTENS LÄN</t>
        </is>
      </c>
      <c r="E75" t="inlineStr">
        <is>
          <t>KIRUNA</t>
        </is>
      </c>
      <c r="G75" t="n">
        <v>39.8</v>
      </c>
      <c r="H75" t="n">
        <v>0</v>
      </c>
      <c r="I75" t="n">
        <v>0</v>
      </c>
      <c r="J75" t="n">
        <v>0</v>
      </c>
      <c r="K75" t="n">
        <v>0</v>
      </c>
      <c r="L75" t="n">
        <v>0</v>
      </c>
      <c r="M75" t="n">
        <v>0</v>
      </c>
      <c r="N75" t="n">
        <v>0</v>
      </c>
      <c r="O75" t="n">
        <v>0</v>
      </c>
      <c r="P75" t="n">
        <v>0</v>
      </c>
      <c r="Q75" t="n">
        <v>0</v>
      </c>
      <c r="R75" s="2" t="inlineStr"/>
    </row>
    <row r="76" ht="15" customHeight="1">
      <c r="A76" t="inlineStr">
        <is>
          <t>A 5842-2023</t>
        </is>
      </c>
      <c r="B76" s="1" t="n">
        <v>44958</v>
      </c>
      <c r="C76" s="1" t="n">
        <v>46188</v>
      </c>
      <c r="D76" t="inlineStr">
        <is>
          <t>NORRBOTTENS LÄN</t>
        </is>
      </c>
      <c r="E76" t="inlineStr">
        <is>
          <t>KIRUNA</t>
        </is>
      </c>
      <c r="G76" t="n">
        <v>2.9</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46188</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18738-2022</t>
        </is>
      </c>
      <c r="B78" s="1" t="n">
        <v>44687</v>
      </c>
      <c r="C78" s="1" t="n">
        <v>46188</v>
      </c>
      <c r="D78" t="inlineStr">
        <is>
          <t>NORRBOTTENS LÄN</t>
        </is>
      </c>
      <c r="E78" t="inlineStr">
        <is>
          <t>KIRUNA</t>
        </is>
      </c>
      <c r="G78" t="n">
        <v>1.5</v>
      </c>
      <c r="H78" t="n">
        <v>0</v>
      </c>
      <c r="I78" t="n">
        <v>0</v>
      </c>
      <c r="J78" t="n">
        <v>0</v>
      </c>
      <c r="K78" t="n">
        <v>0</v>
      </c>
      <c r="L78" t="n">
        <v>0</v>
      </c>
      <c r="M78" t="n">
        <v>0</v>
      </c>
      <c r="N78" t="n">
        <v>0</v>
      </c>
      <c r="O78" t="n">
        <v>0</v>
      </c>
      <c r="P78" t="n">
        <v>0</v>
      </c>
      <c r="Q78" t="n">
        <v>0</v>
      </c>
      <c r="R78" s="2" t="inlineStr"/>
    </row>
    <row r="79" ht="15" customHeight="1">
      <c r="A79" t="inlineStr">
        <is>
          <t>A 5476-2024</t>
        </is>
      </c>
      <c r="B79" s="1" t="n">
        <v>45333</v>
      </c>
      <c r="C79" s="1" t="n">
        <v>46188</v>
      </c>
      <c r="D79" t="inlineStr">
        <is>
          <t>NORRBOTTENS LÄN</t>
        </is>
      </c>
      <c r="E79" t="inlineStr">
        <is>
          <t>KIRUNA</t>
        </is>
      </c>
      <c r="G79" t="n">
        <v>1.8</v>
      </c>
      <c r="H79" t="n">
        <v>0</v>
      </c>
      <c r="I79" t="n">
        <v>0</v>
      </c>
      <c r="J79" t="n">
        <v>0</v>
      </c>
      <c r="K79" t="n">
        <v>0</v>
      </c>
      <c r="L79" t="n">
        <v>0</v>
      </c>
      <c r="M79" t="n">
        <v>0</v>
      </c>
      <c r="N79" t="n">
        <v>0</v>
      </c>
      <c r="O79" t="n">
        <v>0</v>
      </c>
      <c r="P79" t="n">
        <v>0</v>
      </c>
      <c r="Q79" t="n">
        <v>0</v>
      </c>
      <c r="R79" s="2" t="inlineStr"/>
    </row>
    <row r="80" ht="15" customHeight="1">
      <c r="A80" t="inlineStr">
        <is>
          <t>A 34693-2022</t>
        </is>
      </c>
      <c r="B80" s="1" t="n">
        <v>44795</v>
      </c>
      <c r="C80" s="1" t="n">
        <v>46188</v>
      </c>
      <c r="D80" t="inlineStr">
        <is>
          <t>NORRBOTTENS LÄN</t>
        </is>
      </c>
      <c r="E80" t="inlineStr">
        <is>
          <t>KIRUNA</t>
        </is>
      </c>
      <c r="G80" t="n">
        <v>12.3</v>
      </c>
      <c r="H80" t="n">
        <v>0</v>
      </c>
      <c r="I80" t="n">
        <v>0</v>
      </c>
      <c r="J80" t="n">
        <v>0</v>
      </c>
      <c r="K80" t="n">
        <v>0</v>
      </c>
      <c r="L80" t="n">
        <v>0</v>
      </c>
      <c r="M80" t="n">
        <v>0</v>
      </c>
      <c r="N80" t="n">
        <v>0</v>
      </c>
      <c r="O80" t="n">
        <v>0</v>
      </c>
      <c r="P80" t="n">
        <v>0</v>
      </c>
      <c r="Q80" t="n">
        <v>0</v>
      </c>
      <c r="R80" s="2" t="inlineStr"/>
    </row>
    <row r="81" ht="15" customHeight="1">
      <c r="A81" t="inlineStr">
        <is>
          <t>A 41127-2023</t>
        </is>
      </c>
      <c r="B81" s="1" t="n">
        <v>45173</v>
      </c>
      <c r="C81" s="1" t="n">
        <v>46188</v>
      </c>
      <c r="D81" t="inlineStr">
        <is>
          <t>NORRBOTTENS LÄN</t>
        </is>
      </c>
      <c r="E81" t="inlineStr">
        <is>
          <t>KIRUNA</t>
        </is>
      </c>
      <c r="F81" t="inlineStr">
        <is>
          <t>SCA</t>
        </is>
      </c>
      <c r="G81" t="n">
        <v>1.3</v>
      </c>
      <c r="H81" t="n">
        <v>0</v>
      </c>
      <c r="I81" t="n">
        <v>0</v>
      </c>
      <c r="J81" t="n">
        <v>0</v>
      </c>
      <c r="K81" t="n">
        <v>0</v>
      </c>
      <c r="L81" t="n">
        <v>0</v>
      </c>
      <c r="M81" t="n">
        <v>0</v>
      </c>
      <c r="N81" t="n">
        <v>0</v>
      </c>
      <c r="O81" t="n">
        <v>0</v>
      </c>
      <c r="P81" t="n">
        <v>0</v>
      </c>
      <c r="Q81" t="n">
        <v>0</v>
      </c>
      <c r="R81" s="2" t="inlineStr"/>
    </row>
    <row r="82" ht="15" customHeight="1">
      <c r="A82" t="inlineStr">
        <is>
          <t>A 18721-2024</t>
        </is>
      </c>
      <c r="B82" s="1" t="n">
        <v>45426</v>
      </c>
      <c r="C82" s="1" t="n">
        <v>46188</v>
      </c>
      <c r="D82" t="inlineStr">
        <is>
          <t>NORRBOTTENS LÄN</t>
        </is>
      </c>
      <c r="E82" t="inlineStr">
        <is>
          <t>KIRUNA</t>
        </is>
      </c>
      <c r="G82" t="n">
        <v>62.1</v>
      </c>
      <c r="H82" t="n">
        <v>0</v>
      </c>
      <c r="I82" t="n">
        <v>0</v>
      </c>
      <c r="J82" t="n">
        <v>0</v>
      </c>
      <c r="K82" t="n">
        <v>0</v>
      </c>
      <c r="L82" t="n">
        <v>0</v>
      </c>
      <c r="M82" t="n">
        <v>0</v>
      </c>
      <c r="N82" t="n">
        <v>0</v>
      </c>
      <c r="O82" t="n">
        <v>0</v>
      </c>
      <c r="P82" t="n">
        <v>0</v>
      </c>
      <c r="Q82" t="n">
        <v>0</v>
      </c>
      <c r="R82" s="2" t="inlineStr"/>
    </row>
    <row r="83">
      <c r="A83" t="inlineStr">
        <is>
          <t>A 13526-2024</t>
        </is>
      </c>
      <c r="B83" s="1" t="n">
        <v>45387</v>
      </c>
      <c r="C83" s="1" t="n">
        <v>46188</v>
      </c>
      <c r="D83" t="inlineStr">
        <is>
          <t>NORRBOTTENS LÄN</t>
        </is>
      </c>
      <c r="E83" t="inlineStr">
        <is>
          <t>KIRUNA</t>
        </is>
      </c>
      <c r="G83" t="n">
        <v>8.199999999999999</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2026-06-15T09:29:09Z</dcterms:created>
  <dcterms:modified xmlns:dcterms="http://purl.org/dc/terms/" xmlns:xsi="http://www.w3.org/2001/XMLSchema-instance" xsi:type="dcterms:W3CDTF">2026-06-15T09:29:09Z</dcterms:modified>
</cp:coreProperties>
</file>