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45899</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45899</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45899</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45899</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45899</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45899</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45899</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45899</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45899</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20780-2025</t>
        </is>
      </c>
      <c r="B12" s="1" t="n">
        <v>45776</v>
      </c>
      <c r="C12" s="1" t="n">
        <v>45899</v>
      </c>
      <c r="D12" t="inlineStr">
        <is>
          <t>NORRBOTTENS LÄN</t>
        </is>
      </c>
      <c r="E12" t="inlineStr">
        <is>
          <t>KIRUNA</t>
        </is>
      </c>
      <c r="F12" t="inlineStr">
        <is>
          <t>Sveaskog</t>
        </is>
      </c>
      <c r="G12" t="n">
        <v>5.7</v>
      </c>
      <c r="H12" t="n">
        <v>1</v>
      </c>
      <c r="I12" t="n">
        <v>2</v>
      </c>
      <c r="J12" t="n">
        <v>1</v>
      </c>
      <c r="K12" t="n">
        <v>0</v>
      </c>
      <c r="L12" t="n">
        <v>0</v>
      </c>
      <c r="M12" t="n">
        <v>0</v>
      </c>
      <c r="N12" t="n">
        <v>0</v>
      </c>
      <c r="O12" t="n">
        <v>1</v>
      </c>
      <c r="P12" t="n">
        <v>0</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53309-2023</t>
        </is>
      </c>
      <c r="B13" s="1" t="n">
        <v>45229</v>
      </c>
      <c r="C13" s="1" t="n">
        <v>45899</v>
      </c>
      <c r="D13" t="inlineStr">
        <is>
          <t>NORRBOTTENS LÄN</t>
        </is>
      </c>
      <c r="E13" t="inlineStr">
        <is>
          <t>KIRUNA</t>
        </is>
      </c>
      <c r="G13" t="n">
        <v>1.6</v>
      </c>
      <c r="H13" t="n">
        <v>3</v>
      </c>
      <c r="I13" t="n">
        <v>0</v>
      </c>
      <c r="J13" t="n">
        <v>1</v>
      </c>
      <c r="K13" t="n">
        <v>0</v>
      </c>
      <c r="L13" t="n">
        <v>0</v>
      </c>
      <c r="M13" t="n">
        <v>0</v>
      </c>
      <c r="N13" t="n">
        <v>0</v>
      </c>
      <c r="O13" t="n">
        <v>1</v>
      </c>
      <c r="P13" t="n">
        <v>0</v>
      </c>
      <c r="Q13" t="n">
        <v>3</v>
      </c>
      <c r="R13" s="2" t="inlineStr">
        <is>
          <t>Havsörn
Fiskgjuse
Grönsiska</t>
        </is>
      </c>
      <c r="S13">
        <f>HYPERLINK("https://klasma.github.io/Logging_2584/artfynd/A 53309-2023 artfynd.xlsx", "A 53309-2023")</f>
        <v/>
      </c>
      <c r="T13">
        <f>HYPERLINK("https://klasma.github.io/Logging_2584/kartor/A 53309-2023 karta.png", "A 53309-2023")</f>
        <v/>
      </c>
      <c r="V13">
        <f>HYPERLINK("https://klasma.github.io/Logging_2584/klagomål/A 53309-2023 FSC-klagomål.docx", "A 53309-2023")</f>
        <v/>
      </c>
      <c r="W13">
        <f>HYPERLINK("https://klasma.github.io/Logging_2584/klagomålsmail/A 53309-2023 FSC-klagomål mail.docx", "A 53309-2023")</f>
        <v/>
      </c>
      <c r="X13">
        <f>HYPERLINK("https://klasma.github.io/Logging_2584/tillsyn/A 53309-2023 tillsynsbegäran.docx", "A 53309-2023")</f>
        <v/>
      </c>
      <c r="Y13">
        <f>HYPERLINK("https://klasma.github.io/Logging_2584/tillsynsmail/A 53309-2023 tillsynsbegäran mail.docx", "A 53309-2023")</f>
        <v/>
      </c>
      <c r="Z13">
        <f>HYPERLINK("https://klasma.github.io/Logging_2584/fåglar/A 53309-2023 prioriterade fågelarter.docx", "A 53309-2023")</f>
        <v/>
      </c>
    </row>
    <row r="14" ht="15" customHeight="1">
      <c r="A14" t="inlineStr">
        <is>
          <t>A 4367-2024</t>
        </is>
      </c>
      <c r="B14" s="1" t="n">
        <v>45326</v>
      </c>
      <c r="C14" s="1" t="n">
        <v>45899</v>
      </c>
      <c r="D14" t="inlineStr">
        <is>
          <t>NORRBOTTENS LÄN</t>
        </is>
      </c>
      <c r="E14" t="inlineStr">
        <is>
          <t>KIRUNA</t>
        </is>
      </c>
      <c r="G14" t="n">
        <v>7.5</v>
      </c>
      <c r="H14" t="n">
        <v>0</v>
      </c>
      <c r="I14" t="n">
        <v>0</v>
      </c>
      <c r="J14" t="n">
        <v>2</v>
      </c>
      <c r="K14" t="n">
        <v>0</v>
      </c>
      <c r="L14" t="n">
        <v>0</v>
      </c>
      <c r="M14" t="n">
        <v>0</v>
      </c>
      <c r="N14" t="n">
        <v>0</v>
      </c>
      <c r="O14" t="n">
        <v>2</v>
      </c>
      <c r="P14" t="n">
        <v>0</v>
      </c>
      <c r="Q14" t="n">
        <v>2</v>
      </c>
      <c r="R14" s="2" t="inlineStr">
        <is>
          <t>Granticka
Tallticka</t>
        </is>
      </c>
      <c r="S14">
        <f>HYPERLINK("https://klasma.github.io/Logging_2584/artfynd/A 4367-2024 artfynd.xlsx", "A 4367-2024")</f>
        <v/>
      </c>
      <c r="T14">
        <f>HYPERLINK("https://klasma.github.io/Logging_2584/kartor/A 4367-2024 karta.png", "A 4367-2024")</f>
        <v/>
      </c>
      <c r="V14">
        <f>HYPERLINK("https://klasma.github.io/Logging_2584/klagomål/A 4367-2024 FSC-klagomål.docx", "A 4367-2024")</f>
        <v/>
      </c>
      <c r="W14">
        <f>HYPERLINK("https://klasma.github.io/Logging_2584/klagomålsmail/A 4367-2024 FSC-klagomål mail.docx", "A 4367-2024")</f>
        <v/>
      </c>
      <c r="X14">
        <f>HYPERLINK("https://klasma.github.io/Logging_2584/tillsyn/A 4367-2024 tillsynsbegäran.docx", "A 4367-2024")</f>
        <v/>
      </c>
      <c r="Y14">
        <f>HYPERLINK("https://klasma.github.io/Logging_2584/tillsynsmail/A 4367-2024 tillsynsbegäran mail.docx", "A 4367-2024")</f>
        <v/>
      </c>
    </row>
    <row r="15" ht="15" customHeight="1">
      <c r="A15" t="inlineStr">
        <is>
          <t>A 53264-2023</t>
        </is>
      </c>
      <c r="B15" s="1" t="n">
        <v>45222</v>
      </c>
      <c r="C15" s="1" t="n">
        <v>45899</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64829-2023</t>
        </is>
      </c>
      <c r="B16" s="1" t="n">
        <v>45281</v>
      </c>
      <c r="C16" s="1" t="n">
        <v>45899</v>
      </c>
      <c r="D16" t="inlineStr">
        <is>
          <t>NORRBOTTENS LÄN</t>
        </is>
      </c>
      <c r="E16" t="inlineStr">
        <is>
          <t>KIRUNA</t>
        </is>
      </c>
      <c r="G16" t="n">
        <v>31.7</v>
      </c>
      <c r="H16" t="n">
        <v>1</v>
      </c>
      <c r="I16" t="n">
        <v>0</v>
      </c>
      <c r="J16" t="n">
        <v>1</v>
      </c>
      <c r="K16" t="n">
        <v>0</v>
      </c>
      <c r="L16" t="n">
        <v>0</v>
      </c>
      <c r="M16" t="n">
        <v>0</v>
      </c>
      <c r="N16" t="n">
        <v>0</v>
      </c>
      <c r="O16" t="n">
        <v>1</v>
      </c>
      <c r="P16" t="n">
        <v>0</v>
      </c>
      <c r="Q16" t="n">
        <v>2</v>
      </c>
      <c r="R16" s="2" t="inlineStr">
        <is>
          <t>Månlåsbräken
Mattlummer</t>
        </is>
      </c>
      <c r="S16">
        <f>HYPERLINK("https://klasma.github.io/Logging_2584/artfynd/A 64829-2023 artfynd.xlsx", "A 64829-2023")</f>
        <v/>
      </c>
      <c r="T16">
        <f>HYPERLINK("https://klasma.github.io/Logging_2584/kartor/A 64829-2023 karta.png", "A 64829-2023")</f>
        <v/>
      </c>
      <c r="V16">
        <f>HYPERLINK("https://klasma.github.io/Logging_2584/klagomål/A 64829-2023 FSC-klagomål.docx", "A 64829-2023")</f>
        <v/>
      </c>
      <c r="W16">
        <f>HYPERLINK("https://klasma.github.io/Logging_2584/klagomålsmail/A 64829-2023 FSC-klagomål mail.docx", "A 64829-2023")</f>
        <v/>
      </c>
      <c r="X16">
        <f>HYPERLINK("https://klasma.github.io/Logging_2584/tillsyn/A 64829-2023 tillsynsbegäran.docx", "A 64829-2023")</f>
        <v/>
      </c>
      <c r="Y16">
        <f>HYPERLINK("https://klasma.github.io/Logging_2584/tillsynsmail/A 64829-2023 tillsynsbegäran mail.docx", "A 64829-2023")</f>
        <v/>
      </c>
    </row>
    <row r="17" ht="15" customHeight="1">
      <c r="A17" t="inlineStr">
        <is>
          <t>A 45810-2022</t>
        </is>
      </c>
      <c r="B17" s="1" t="n">
        <v>44844</v>
      </c>
      <c r="C17" s="1" t="n">
        <v>45899</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45899</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17740-2023</t>
        </is>
      </c>
      <c r="B19" s="1" t="n">
        <v>45035</v>
      </c>
      <c r="C19" s="1" t="n">
        <v>45899</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21183-2025</t>
        </is>
      </c>
      <c r="B20" s="1" t="n">
        <v>45779</v>
      </c>
      <c r="C20" s="1" t="n">
        <v>45899</v>
      </c>
      <c r="D20" t="inlineStr">
        <is>
          <t>NORRBOTTENS LÄN</t>
        </is>
      </c>
      <c r="E20" t="inlineStr">
        <is>
          <t>KIRUNA</t>
        </is>
      </c>
      <c r="G20" t="n">
        <v>31.9</v>
      </c>
      <c r="H20" t="n">
        <v>1</v>
      </c>
      <c r="I20" t="n">
        <v>0</v>
      </c>
      <c r="J20" t="n">
        <v>1</v>
      </c>
      <c r="K20" t="n">
        <v>0</v>
      </c>
      <c r="L20" t="n">
        <v>0</v>
      </c>
      <c r="M20" t="n">
        <v>0</v>
      </c>
      <c r="N20" t="n">
        <v>0</v>
      </c>
      <c r="O20" t="n">
        <v>1</v>
      </c>
      <c r="P20" t="n">
        <v>0</v>
      </c>
      <c r="Q20" t="n">
        <v>1</v>
      </c>
      <c r="R20" s="2" t="inlineStr">
        <is>
          <t>Venhavre</t>
        </is>
      </c>
      <c r="S20">
        <f>HYPERLINK("https://klasma.github.io/Logging_2584/artfynd/A 21183-2025 artfynd.xlsx", "A 21183-2025")</f>
        <v/>
      </c>
      <c r="T20">
        <f>HYPERLINK("https://klasma.github.io/Logging_2584/kartor/A 21183-2025 karta.png", "A 21183-2025")</f>
        <v/>
      </c>
      <c r="V20">
        <f>HYPERLINK("https://klasma.github.io/Logging_2584/klagomål/A 21183-2025 FSC-klagomål.docx", "A 21183-2025")</f>
        <v/>
      </c>
      <c r="W20">
        <f>HYPERLINK("https://klasma.github.io/Logging_2584/klagomålsmail/A 21183-2025 FSC-klagomål mail.docx", "A 21183-2025")</f>
        <v/>
      </c>
      <c r="X20">
        <f>HYPERLINK("https://klasma.github.io/Logging_2584/tillsyn/A 21183-2025 tillsynsbegäran.docx", "A 21183-2025")</f>
        <v/>
      </c>
      <c r="Y20">
        <f>HYPERLINK("https://klasma.github.io/Logging_2584/tillsynsmail/A 21183-2025 tillsynsbegäran mail.docx", "A 21183-2025")</f>
        <v/>
      </c>
    </row>
    <row r="21" ht="15" customHeight="1">
      <c r="A21" t="inlineStr">
        <is>
          <t>A 32819-2021</t>
        </is>
      </c>
      <c r="B21" s="1" t="n">
        <v>44375</v>
      </c>
      <c r="C21" s="1" t="n">
        <v>45899</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45899</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45899</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45899</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45899</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45899</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45899</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45899</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45899</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45899</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45899</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45899</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45899</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45899</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45899</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5842-2023</t>
        </is>
      </c>
      <c r="B36" s="1" t="n">
        <v>44958</v>
      </c>
      <c r="C36" s="1" t="n">
        <v>45899</v>
      </c>
      <c r="D36" t="inlineStr">
        <is>
          <t>NORRBOTTENS LÄN</t>
        </is>
      </c>
      <c r="E36" t="inlineStr">
        <is>
          <t>KIRUNA</t>
        </is>
      </c>
      <c r="G36" t="n">
        <v>2.9</v>
      </c>
      <c r="H36" t="n">
        <v>0</v>
      </c>
      <c r="I36" t="n">
        <v>0</v>
      </c>
      <c r="J36" t="n">
        <v>0</v>
      </c>
      <c r="K36" t="n">
        <v>0</v>
      </c>
      <c r="L36" t="n">
        <v>0</v>
      </c>
      <c r="M36" t="n">
        <v>0</v>
      </c>
      <c r="N36" t="n">
        <v>0</v>
      </c>
      <c r="O36" t="n">
        <v>0</v>
      </c>
      <c r="P36" t="n">
        <v>0</v>
      </c>
      <c r="Q36" t="n">
        <v>0</v>
      </c>
      <c r="R36" s="2" t="inlineStr"/>
    </row>
    <row r="37" ht="15" customHeight="1">
      <c r="A37" t="inlineStr">
        <is>
          <t>A 20764-2025</t>
        </is>
      </c>
      <c r="B37" s="1" t="n">
        <v>45776</v>
      </c>
      <c r="C37" s="1" t="n">
        <v>45899</v>
      </c>
      <c r="D37" t="inlineStr">
        <is>
          <t>NORRBOTTENS LÄN</t>
        </is>
      </c>
      <c r="E37" t="inlineStr">
        <is>
          <t>KIRUNA</t>
        </is>
      </c>
      <c r="F37" t="inlineStr">
        <is>
          <t>Sveaskog</t>
        </is>
      </c>
      <c r="G37" t="n">
        <v>1.2</v>
      </c>
      <c r="H37" t="n">
        <v>0</v>
      </c>
      <c r="I37" t="n">
        <v>0</v>
      </c>
      <c r="J37" t="n">
        <v>0</v>
      </c>
      <c r="K37" t="n">
        <v>0</v>
      </c>
      <c r="L37" t="n">
        <v>0</v>
      </c>
      <c r="M37" t="n">
        <v>0</v>
      </c>
      <c r="N37" t="n">
        <v>0</v>
      </c>
      <c r="O37" t="n">
        <v>0</v>
      </c>
      <c r="P37" t="n">
        <v>0</v>
      </c>
      <c r="Q37" t="n">
        <v>0</v>
      </c>
      <c r="R37" s="2" t="inlineStr"/>
    </row>
    <row r="38" ht="15" customHeight="1">
      <c r="A38" t="inlineStr">
        <is>
          <t>A 20770-2025</t>
        </is>
      </c>
      <c r="B38" s="1" t="n">
        <v>45776</v>
      </c>
      <c r="C38" s="1" t="n">
        <v>45899</v>
      </c>
      <c r="D38" t="inlineStr">
        <is>
          <t>NORRBOTTENS LÄN</t>
        </is>
      </c>
      <c r="E38" t="inlineStr">
        <is>
          <t>KIRUNA</t>
        </is>
      </c>
      <c r="F38" t="inlineStr">
        <is>
          <t>Sveaskog</t>
        </is>
      </c>
      <c r="G38" t="n">
        <v>5.5</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45899</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38577-2024</t>
        </is>
      </c>
      <c r="B40" s="1" t="n">
        <v>45546</v>
      </c>
      <c r="C40" s="1" t="n">
        <v>45899</v>
      </c>
      <c r="D40" t="inlineStr">
        <is>
          <t>NORRBOTTENS LÄN</t>
        </is>
      </c>
      <c r="E40" t="inlineStr">
        <is>
          <t>KIRUNA</t>
        </is>
      </c>
      <c r="G40" t="n">
        <v>39.8</v>
      </c>
      <c r="H40" t="n">
        <v>0</v>
      </c>
      <c r="I40" t="n">
        <v>0</v>
      </c>
      <c r="J40" t="n">
        <v>0</v>
      </c>
      <c r="K40" t="n">
        <v>0</v>
      </c>
      <c r="L40" t="n">
        <v>0</v>
      </c>
      <c r="M40" t="n">
        <v>0</v>
      </c>
      <c r="N40" t="n">
        <v>0</v>
      </c>
      <c r="O40" t="n">
        <v>0</v>
      </c>
      <c r="P40" t="n">
        <v>0</v>
      </c>
      <c r="Q40" t="n">
        <v>0</v>
      </c>
      <c r="R40" s="2" t="inlineStr"/>
    </row>
    <row r="41" ht="15" customHeight="1">
      <c r="A41" t="inlineStr">
        <is>
          <t>A 13526-2024</t>
        </is>
      </c>
      <c r="B41" s="1" t="n">
        <v>45387</v>
      </c>
      <c r="C41" s="1" t="n">
        <v>45899</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45899</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45899</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22494-2024</t>
        </is>
      </c>
      <c r="B44" s="1" t="n">
        <v>45447</v>
      </c>
      <c r="C44" s="1" t="n">
        <v>45899</v>
      </c>
      <c r="D44" t="inlineStr">
        <is>
          <t>NORRBOTTENS LÄN</t>
        </is>
      </c>
      <c r="E44" t="inlineStr">
        <is>
          <t>KIRUNA</t>
        </is>
      </c>
      <c r="G44" t="n">
        <v>6</v>
      </c>
      <c r="H44" t="n">
        <v>0</v>
      </c>
      <c r="I44" t="n">
        <v>0</v>
      </c>
      <c r="J44" t="n">
        <v>0</v>
      </c>
      <c r="K44" t="n">
        <v>0</v>
      </c>
      <c r="L44" t="n">
        <v>0</v>
      </c>
      <c r="M44" t="n">
        <v>0</v>
      </c>
      <c r="N44" t="n">
        <v>0</v>
      </c>
      <c r="O44" t="n">
        <v>0</v>
      </c>
      <c r="P44" t="n">
        <v>0</v>
      </c>
      <c r="Q44" t="n">
        <v>0</v>
      </c>
      <c r="R44" s="2" t="inlineStr"/>
    </row>
    <row r="45" ht="15" customHeight="1">
      <c r="A45" t="inlineStr">
        <is>
          <t>A 31536-2025</t>
        </is>
      </c>
      <c r="B45" s="1" t="n">
        <v>45833</v>
      </c>
      <c r="C45" s="1" t="n">
        <v>45899</v>
      </c>
      <c r="D45" t="inlineStr">
        <is>
          <t>NORRBOTTENS LÄN</t>
        </is>
      </c>
      <c r="E45" t="inlineStr">
        <is>
          <t>KIRUNA</t>
        </is>
      </c>
      <c r="F45" t="inlineStr">
        <is>
          <t>Övriga statliga verk och myndigheter</t>
        </is>
      </c>
      <c r="G45" t="n">
        <v>0.7</v>
      </c>
      <c r="H45" t="n">
        <v>0</v>
      </c>
      <c r="I45" t="n">
        <v>0</v>
      </c>
      <c r="J45" t="n">
        <v>0</v>
      </c>
      <c r="K45" t="n">
        <v>0</v>
      </c>
      <c r="L45" t="n">
        <v>0</v>
      </c>
      <c r="M45" t="n">
        <v>0</v>
      </c>
      <c r="N45" t="n">
        <v>0</v>
      </c>
      <c r="O45" t="n">
        <v>0</v>
      </c>
      <c r="P45" t="n">
        <v>0</v>
      </c>
      <c r="Q45" t="n">
        <v>0</v>
      </c>
      <c r="R45" s="2" t="inlineStr"/>
    </row>
    <row r="46" ht="15" customHeight="1">
      <c r="A46" t="inlineStr">
        <is>
          <t>A 16024-2024</t>
        </is>
      </c>
      <c r="B46" s="1" t="n">
        <v>45405</v>
      </c>
      <c r="C46" s="1" t="n">
        <v>45899</v>
      </c>
      <c r="D46" t="inlineStr">
        <is>
          <t>NORRBOTTENS LÄN</t>
        </is>
      </c>
      <c r="E46" t="inlineStr">
        <is>
          <t>KIRUNA</t>
        </is>
      </c>
      <c r="G46" t="n">
        <v>2.3</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45899</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9069-2023</t>
        </is>
      </c>
      <c r="B48" s="1" t="n">
        <v>44979</v>
      </c>
      <c r="C48" s="1" t="n">
        <v>45899</v>
      </c>
      <c r="D48" t="inlineStr">
        <is>
          <t>NORRBOTTENS LÄN</t>
        </is>
      </c>
      <c r="E48" t="inlineStr">
        <is>
          <t>KIRUNA</t>
        </is>
      </c>
      <c r="F48" t="inlineStr">
        <is>
          <t>SCA</t>
        </is>
      </c>
      <c r="G48" t="n">
        <v>4</v>
      </c>
      <c r="H48" t="n">
        <v>0</v>
      </c>
      <c r="I48" t="n">
        <v>0</v>
      </c>
      <c r="J48" t="n">
        <v>0</v>
      </c>
      <c r="K48" t="n">
        <v>0</v>
      </c>
      <c r="L48" t="n">
        <v>0</v>
      </c>
      <c r="M48" t="n">
        <v>0</v>
      </c>
      <c r="N48" t="n">
        <v>0</v>
      </c>
      <c r="O48" t="n">
        <v>0</v>
      </c>
      <c r="P48" t="n">
        <v>0</v>
      </c>
      <c r="Q48" t="n">
        <v>0</v>
      </c>
      <c r="R48" s="2" t="inlineStr"/>
    </row>
    <row r="49" ht="15" customHeight="1">
      <c r="A49" t="inlineStr">
        <is>
          <t>A 50590-2023</t>
        </is>
      </c>
      <c r="B49" s="1" t="n">
        <v>45217.40167824074</v>
      </c>
      <c r="C49" s="1" t="n">
        <v>45899</v>
      </c>
      <c r="D49" t="inlineStr">
        <is>
          <t>NORRBOTTENS LÄN</t>
        </is>
      </c>
      <c r="E49" t="inlineStr">
        <is>
          <t>KIRUNA</t>
        </is>
      </c>
      <c r="G49" t="n">
        <v>1.3</v>
      </c>
      <c r="H49" t="n">
        <v>0</v>
      </c>
      <c r="I49" t="n">
        <v>0</v>
      </c>
      <c r="J49" t="n">
        <v>0</v>
      </c>
      <c r="K49" t="n">
        <v>0</v>
      </c>
      <c r="L49" t="n">
        <v>0</v>
      </c>
      <c r="M49" t="n">
        <v>0</v>
      </c>
      <c r="N49" t="n">
        <v>0</v>
      </c>
      <c r="O49" t="n">
        <v>0</v>
      </c>
      <c r="P49" t="n">
        <v>0</v>
      </c>
      <c r="Q49" t="n">
        <v>0</v>
      </c>
      <c r="R49" s="2" t="inlineStr"/>
    </row>
    <row r="50" ht="15" customHeight="1">
      <c r="A50" t="inlineStr">
        <is>
          <t>A 60064-2023</t>
        </is>
      </c>
      <c r="B50" s="1" t="n">
        <v>45258.3846412037</v>
      </c>
      <c r="C50" s="1" t="n">
        <v>45899</v>
      </c>
      <c r="D50" t="inlineStr">
        <is>
          <t>NORRBOTTENS LÄN</t>
        </is>
      </c>
      <c r="E50" t="inlineStr">
        <is>
          <t>KIRUNA</t>
        </is>
      </c>
      <c r="G50" t="n">
        <v>19.8</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45899</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62439-2022</t>
        </is>
      </c>
      <c r="B52" s="1" t="n">
        <v>44916</v>
      </c>
      <c r="C52" s="1" t="n">
        <v>45899</v>
      </c>
      <c r="D52" t="inlineStr">
        <is>
          <t>NORRBOTTENS LÄN</t>
        </is>
      </c>
      <c r="E52" t="inlineStr">
        <is>
          <t>KIRUNA</t>
        </is>
      </c>
      <c r="G52" t="n">
        <v>3.2</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45899</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45899</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5476-2024</t>
        </is>
      </c>
      <c r="B55" s="1" t="n">
        <v>45333</v>
      </c>
      <c r="C55" s="1" t="n">
        <v>45899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45899</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18738-2022</t>
        </is>
      </c>
      <c r="B57" s="1" t="n">
        <v>44687</v>
      </c>
      <c r="C57" s="1" t="n">
        <v>45899</v>
      </c>
      <c r="D57" t="inlineStr">
        <is>
          <t>NORRBOTTENS LÄN</t>
        </is>
      </c>
      <c r="E57" t="inlineStr">
        <is>
          <t>KIRUNA</t>
        </is>
      </c>
      <c r="G57" t="n">
        <v>1.5</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45899</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18721-2024</t>
        </is>
      </c>
      <c r="B59" s="1" t="n">
        <v>45426</v>
      </c>
      <c r="C59" s="1" t="n">
        <v>45899</v>
      </c>
      <c r="D59" t="inlineStr">
        <is>
          <t>NORRBOTTENS LÄN</t>
        </is>
      </c>
      <c r="E59" t="inlineStr">
        <is>
          <t>KIRUNA</t>
        </is>
      </c>
      <c r="G59" t="n">
        <v>62.1</v>
      </c>
      <c r="H59" t="n">
        <v>0</v>
      </c>
      <c r="I59" t="n">
        <v>0</v>
      </c>
      <c r="J59" t="n">
        <v>0</v>
      </c>
      <c r="K59" t="n">
        <v>0</v>
      </c>
      <c r="L59" t="n">
        <v>0</v>
      </c>
      <c r="M59" t="n">
        <v>0</v>
      </c>
      <c r="N59" t="n">
        <v>0</v>
      </c>
      <c r="O59" t="n">
        <v>0</v>
      </c>
      <c r="P59" t="n">
        <v>0</v>
      </c>
      <c r="Q59" t="n">
        <v>0</v>
      </c>
      <c r="R59" s="2" t="inlineStr"/>
    </row>
    <row r="60" ht="15" customHeight="1">
      <c r="A60" t="inlineStr">
        <is>
          <t>A 28707-2022</t>
        </is>
      </c>
      <c r="B60" s="1" t="n">
        <v>44748</v>
      </c>
      <c r="C60" s="1" t="n">
        <v>45899</v>
      </c>
      <c r="D60" t="inlineStr">
        <is>
          <t>NORRBOTTENS LÄN</t>
        </is>
      </c>
      <c r="E60" t="inlineStr">
        <is>
          <t>KIRUNA</t>
        </is>
      </c>
      <c r="G60" t="n">
        <v>15.2</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45899</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45899</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9068-2023</t>
        </is>
      </c>
      <c r="B63" s="1" t="n">
        <v>44979</v>
      </c>
      <c r="C63" s="1" t="n">
        <v>45899</v>
      </c>
      <c r="D63" t="inlineStr">
        <is>
          <t>NORRBOTTENS LÄN</t>
        </is>
      </c>
      <c r="E63" t="inlineStr">
        <is>
          <t>KIRUNA</t>
        </is>
      </c>
      <c r="F63" t="inlineStr">
        <is>
          <t>SCA</t>
        </is>
      </c>
      <c r="G63" t="n">
        <v>4.6</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45899</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33183-2025</t>
        </is>
      </c>
      <c r="B65" s="1" t="n">
        <v>45840.59206018518</v>
      </c>
      <c r="C65" s="1" t="n">
        <v>45899</v>
      </c>
      <c r="D65" t="inlineStr">
        <is>
          <t>NORRBOTTENS LÄN</t>
        </is>
      </c>
      <c r="E65" t="inlineStr">
        <is>
          <t>KIRUNA</t>
        </is>
      </c>
      <c r="G65" t="n">
        <v>2.8</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45899</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45899</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23469-2022</t>
        </is>
      </c>
      <c r="B68" s="1" t="n">
        <v>44721</v>
      </c>
      <c r="C68" s="1" t="n">
        <v>45899</v>
      </c>
      <c r="D68" t="inlineStr">
        <is>
          <t>NORRBOTTENS LÄN</t>
        </is>
      </c>
      <c r="E68" t="inlineStr">
        <is>
          <t>KIRUNA</t>
        </is>
      </c>
      <c r="G68" t="n">
        <v>11.8</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45899</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62460-2022</t>
        </is>
      </c>
      <c r="B70" s="1" t="n">
        <v>44916</v>
      </c>
      <c r="C70" s="1" t="n">
        <v>45899</v>
      </c>
      <c r="D70" t="inlineStr">
        <is>
          <t>NORRBOTTENS LÄN</t>
        </is>
      </c>
      <c r="E70" t="inlineStr">
        <is>
          <t>KIRUNA</t>
        </is>
      </c>
      <c r="G70" t="n">
        <v>13.4</v>
      </c>
      <c r="H70" t="n">
        <v>0</v>
      </c>
      <c r="I70" t="n">
        <v>0</v>
      </c>
      <c r="J70" t="n">
        <v>0</v>
      </c>
      <c r="K70" t="n">
        <v>0</v>
      </c>
      <c r="L70" t="n">
        <v>0</v>
      </c>
      <c r="M70" t="n">
        <v>0</v>
      </c>
      <c r="N70" t="n">
        <v>0</v>
      </c>
      <c r="O70" t="n">
        <v>0</v>
      </c>
      <c r="P70" t="n">
        <v>0</v>
      </c>
      <c r="Q70" t="n">
        <v>0</v>
      </c>
      <c r="R70" s="2" t="inlineStr"/>
    </row>
    <row r="71" ht="15" customHeight="1">
      <c r="A71" t="inlineStr">
        <is>
          <t>A 34664-2025</t>
        </is>
      </c>
      <c r="B71" s="1" t="n">
        <v>45848.37857638889</v>
      </c>
      <c r="C71" s="1" t="n">
        <v>45899</v>
      </c>
      <c r="D71" t="inlineStr">
        <is>
          <t>NORRBOTTENS LÄN</t>
        </is>
      </c>
      <c r="E71" t="inlineStr">
        <is>
          <t>KIRUNA</t>
        </is>
      </c>
      <c r="G71" t="n">
        <v>8.4</v>
      </c>
      <c r="H71" t="n">
        <v>0</v>
      </c>
      <c r="I71" t="n">
        <v>0</v>
      </c>
      <c r="J71" t="n">
        <v>0</v>
      </c>
      <c r="K71" t="n">
        <v>0</v>
      </c>
      <c r="L71" t="n">
        <v>0</v>
      </c>
      <c r="M71" t="n">
        <v>0</v>
      </c>
      <c r="N71" t="n">
        <v>0</v>
      </c>
      <c r="O71" t="n">
        <v>0</v>
      </c>
      <c r="P71" t="n">
        <v>0</v>
      </c>
      <c r="Q71" t="n">
        <v>0</v>
      </c>
      <c r="R71" s="2" t="inlineStr"/>
    </row>
    <row r="72" ht="15" customHeight="1">
      <c r="A72" t="inlineStr">
        <is>
          <t>A 34663-2025</t>
        </is>
      </c>
      <c r="B72" s="1" t="n">
        <v>45848.37454861111</v>
      </c>
      <c r="C72" s="1" t="n">
        <v>45899</v>
      </c>
      <c r="D72" t="inlineStr">
        <is>
          <t>NORRBOTTENS LÄN</t>
        </is>
      </c>
      <c r="E72" t="inlineStr">
        <is>
          <t>KIRUNA</t>
        </is>
      </c>
      <c r="G72" t="n">
        <v>5.1</v>
      </c>
      <c r="H72" t="n">
        <v>0</v>
      </c>
      <c r="I72" t="n">
        <v>0</v>
      </c>
      <c r="J72" t="n">
        <v>0</v>
      </c>
      <c r="K72" t="n">
        <v>0</v>
      </c>
      <c r="L72" t="n">
        <v>0</v>
      </c>
      <c r="M72" t="n">
        <v>0</v>
      </c>
      <c r="N72" t="n">
        <v>0</v>
      </c>
      <c r="O72" t="n">
        <v>0</v>
      </c>
      <c r="P72" t="n">
        <v>0</v>
      </c>
      <c r="Q72" t="n">
        <v>0</v>
      </c>
      <c r="R72" s="2" t="inlineStr"/>
    </row>
    <row r="73" ht="15" customHeight="1">
      <c r="A73" t="inlineStr">
        <is>
          <t>A 47730-2024</t>
        </is>
      </c>
      <c r="B73" s="1" t="n">
        <v>45588</v>
      </c>
      <c r="C73" s="1" t="n">
        <v>45899</v>
      </c>
      <c r="D73" t="inlineStr">
        <is>
          <t>NORRBOTTENS LÄN</t>
        </is>
      </c>
      <c r="E73" t="inlineStr">
        <is>
          <t>KIRUNA</t>
        </is>
      </c>
      <c r="F73" t="inlineStr">
        <is>
          <t>Allmännings- och besparingsskogar</t>
        </is>
      </c>
      <c r="G73" t="n">
        <v>3.7</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45899</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49704-2024</t>
        </is>
      </c>
      <c r="B75" s="1" t="n">
        <v>45596</v>
      </c>
      <c r="C75" s="1" t="n">
        <v>45899</v>
      </c>
      <c r="D75" t="inlineStr">
        <is>
          <t>NORRBOTTENS LÄN</t>
        </is>
      </c>
      <c r="E75" t="inlineStr">
        <is>
          <t>KIRUNA</t>
        </is>
      </c>
      <c r="G75" t="n">
        <v>17.4</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45899</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21184-2025</t>
        </is>
      </c>
      <c r="B77" s="1" t="n">
        <v>45777</v>
      </c>
      <c r="C77" s="1" t="n">
        <v>45899</v>
      </c>
      <c r="D77" t="inlineStr">
        <is>
          <t>NORRBOTTENS LÄN</t>
        </is>
      </c>
      <c r="E77" t="inlineStr">
        <is>
          <t>KIRUNA</t>
        </is>
      </c>
      <c r="G77" t="n">
        <v>20.1</v>
      </c>
      <c r="H77" t="n">
        <v>0</v>
      </c>
      <c r="I77" t="n">
        <v>0</v>
      </c>
      <c r="J77" t="n">
        <v>0</v>
      </c>
      <c r="K77" t="n">
        <v>0</v>
      </c>
      <c r="L77" t="n">
        <v>0</v>
      </c>
      <c r="M77" t="n">
        <v>0</v>
      </c>
      <c r="N77" t="n">
        <v>0</v>
      </c>
      <c r="O77" t="n">
        <v>0</v>
      </c>
      <c r="P77" t="n">
        <v>0</v>
      </c>
      <c r="Q77" t="n">
        <v>0</v>
      </c>
      <c r="R77" s="2" t="inlineStr"/>
    </row>
    <row r="78" ht="15" customHeight="1">
      <c r="A78" t="inlineStr">
        <is>
          <t>A 21112-2025</t>
        </is>
      </c>
      <c r="B78" s="1" t="n">
        <v>45777</v>
      </c>
      <c r="C78" s="1" t="n">
        <v>45899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18698-2025</t>
        </is>
      </c>
      <c r="B79" s="1" t="n">
        <v>45763</v>
      </c>
      <c r="C79" s="1" t="n">
        <v>45899</v>
      </c>
      <c r="D79" t="inlineStr">
        <is>
          <t>NORRBOTTENS LÄN</t>
        </is>
      </c>
      <c r="E79" t="inlineStr">
        <is>
          <t>KIRUNA</t>
        </is>
      </c>
      <c r="G79" t="n">
        <v>29.7</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45899</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18712-2025</t>
        </is>
      </c>
      <c r="B81" s="1" t="n">
        <v>45763</v>
      </c>
      <c r="C81" s="1" t="n">
        <v>45899</v>
      </c>
      <c r="D81" t="inlineStr">
        <is>
          <t>NORRBOTTENS LÄN</t>
        </is>
      </c>
      <c r="E81" t="inlineStr">
        <is>
          <t>KIRUNA</t>
        </is>
      </c>
      <c r="G81" t="n">
        <v>66.5</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45899</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45899</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45899</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45899</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c r="A86" t="inlineStr">
        <is>
          <t>A 41127-2023</t>
        </is>
      </c>
      <c r="B86" s="1" t="n">
        <v>45173</v>
      </c>
      <c r="C86" s="1" t="n">
        <v>45899</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2025-08-30T08:34:04Z</dcterms:created>
  <dcterms:modified xmlns:dcterms="http://purl.org/dc/terms/" xmlns:xsi="http://www.w3.org/2001/XMLSchema-instance" xsi:type="dcterms:W3CDTF">2025-08-30T08:34:04Z</dcterms:modified>
</cp:coreProperties>
</file>