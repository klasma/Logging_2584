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45574</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45574</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45574</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45574</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45574</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45574</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45574</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45574</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45574</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45574</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45574</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45574</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45574</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45574</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45574</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45574</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45574</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45574</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45574</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45574</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60777-2019</t>
        </is>
      </c>
      <c r="B22" s="1" t="n">
        <v>43777</v>
      </c>
      <c r="C22" s="1" t="n">
        <v>45574</v>
      </c>
      <c r="D22" t="inlineStr">
        <is>
          <t>NORRBOTTENS LÄN</t>
        </is>
      </c>
      <c r="E22" t="inlineStr">
        <is>
          <t>KIRUNA</t>
        </is>
      </c>
      <c r="G22" t="n">
        <v>4.9</v>
      </c>
      <c r="H22" t="n">
        <v>0</v>
      </c>
      <c r="I22" t="n">
        <v>0</v>
      </c>
      <c r="J22" t="n">
        <v>2</v>
      </c>
      <c r="K22" t="n">
        <v>0</v>
      </c>
      <c r="L22" t="n">
        <v>0</v>
      </c>
      <c r="M22" t="n">
        <v>0</v>
      </c>
      <c r="N22" t="n">
        <v>0</v>
      </c>
      <c r="O22" t="n">
        <v>2</v>
      </c>
      <c r="P22" t="n">
        <v>0</v>
      </c>
      <c r="Q22" t="n">
        <v>2</v>
      </c>
      <c r="R22" s="2" t="inlineStr">
        <is>
          <t>Granticka
Ullticka</t>
        </is>
      </c>
      <c r="S22">
        <f>HYPERLINK("https://klasma.github.io/Logging_2584/artfynd/A 60777-2019 artfynd.xlsx", "A 60777-2019")</f>
        <v/>
      </c>
      <c r="T22">
        <f>HYPERLINK("https://klasma.github.io/Logging_2584/kartor/A 60777-2019 karta.png", "A 60777-2019")</f>
        <v/>
      </c>
      <c r="V22">
        <f>HYPERLINK("https://klasma.github.io/Logging_2584/klagomål/A 60777-2019 FSC-klagomål.docx", "A 60777-2019")</f>
        <v/>
      </c>
      <c r="W22">
        <f>HYPERLINK("https://klasma.github.io/Logging_2584/klagomålsmail/A 60777-2019 FSC-klagomål mail.docx", "A 60777-2019")</f>
        <v/>
      </c>
      <c r="X22">
        <f>HYPERLINK("https://klasma.github.io/Logging_2584/tillsyn/A 60777-2019 tillsynsbegäran.docx", "A 60777-2019")</f>
        <v/>
      </c>
      <c r="Y22">
        <f>HYPERLINK("https://klasma.github.io/Logging_2584/tillsynsmail/A 60777-2019 tillsynsbegäran mail.docx", "A 60777-2019")</f>
        <v/>
      </c>
    </row>
    <row r="23" ht="15" customHeight="1">
      <c r="A23" t="inlineStr">
        <is>
          <t>A 6890-2021</t>
        </is>
      </c>
      <c r="B23" s="1" t="n">
        <v>44237</v>
      </c>
      <c r="C23" s="1" t="n">
        <v>45574</v>
      </c>
      <c r="D23" t="inlineStr">
        <is>
          <t>NORRBOTTENS LÄN</t>
        </is>
      </c>
      <c r="E23" t="inlineStr">
        <is>
          <t>KIRUNA</t>
        </is>
      </c>
      <c r="G23" t="n">
        <v>3.9</v>
      </c>
      <c r="H23" t="n">
        <v>0</v>
      </c>
      <c r="I23" t="n">
        <v>1</v>
      </c>
      <c r="J23" t="n">
        <v>1</v>
      </c>
      <c r="K23" t="n">
        <v>0</v>
      </c>
      <c r="L23" t="n">
        <v>0</v>
      </c>
      <c r="M23" t="n">
        <v>0</v>
      </c>
      <c r="N23" t="n">
        <v>0</v>
      </c>
      <c r="O23" t="n">
        <v>1</v>
      </c>
      <c r="P23" t="n">
        <v>0</v>
      </c>
      <c r="Q23" t="n">
        <v>2</v>
      </c>
      <c r="R23" s="2" t="inlineStr">
        <is>
          <t>Vitplätt
Blodticka</t>
        </is>
      </c>
      <c r="S23">
        <f>HYPERLINK("https://klasma.github.io/Logging_2584/artfynd/A 6890-2021 artfynd.xlsx", "A 6890-2021")</f>
        <v/>
      </c>
      <c r="T23">
        <f>HYPERLINK("https://klasma.github.io/Logging_2584/kartor/A 6890-2021 karta.png", "A 6890-2021")</f>
        <v/>
      </c>
      <c r="V23">
        <f>HYPERLINK("https://klasma.github.io/Logging_2584/klagomål/A 6890-2021 FSC-klagomål.docx", "A 6890-2021")</f>
        <v/>
      </c>
      <c r="W23">
        <f>HYPERLINK("https://klasma.github.io/Logging_2584/klagomålsmail/A 6890-2021 FSC-klagomål mail.docx", "A 6890-2021")</f>
        <v/>
      </c>
      <c r="X23">
        <f>HYPERLINK("https://klasma.github.io/Logging_2584/tillsyn/A 6890-2021 tillsynsbegäran.docx", "A 6890-2021")</f>
        <v/>
      </c>
      <c r="Y23">
        <f>HYPERLINK("https://klasma.github.io/Logging_2584/tillsynsmail/A 6890-2021 tillsynsbegäran mail.docx", "A 6890-2021")</f>
        <v/>
      </c>
    </row>
    <row r="24" ht="15" customHeight="1">
      <c r="A24" t="inlineStr">
        <is>
          <t>A 62435-2022</t>
        </is>
      </c>
      <c r="B24" s="1" t="n">
        <v>44916</v>
      </c>
      <c r="C24" s="1" t="n">
        <v>45574</v>
      </c>
      <c r="D24" t="inlineStr">
        <is>
          <t>NORRBOTTENS LÄN</t>
        </is>
      </c>
      <c r="E24" t="inlineStr">
        <is>
          <t>KIRUNA</t>
        </is>
      </c>
      <c r="G24" t="n">
        <v>13.3</v>
      </c>
      <c r="H24" t="n">
        <v>0</v>
      </c>
      <c r="I24" t="n">
        <v>0</v>
      </c>
      <c r="J24" t="n">
        <v>2</v>
      </c>
      <c r="K24" t="n">
        <v>0</v>
      </c>
      <c r="L24" t="n">
        <v>0</v>
      </c>
      <c r="M24" t="n">
        <v>0</v>
      </c>
      <c r="N24" t="n">
        <v>0</v>
      </c>
      <c r="O24" t="n">
        <v>2</v>
      </c>
      <c r="P24" t="n">
        <v>0</v>
      </c>
      <c r="Q24" t="n">
        <v>2</v>
      </c>
      <c r="R24" s="2" t="inlineStr">
        <is>
          <t>Harticka
Rosenticka</t>
        </is>
      </c>
      <c r="S24">
        <f>HYPERLINK("https://klasma.github.io/Logging_2584/artfynd/A 62435-2022 artfynd.xlsx", "A 62435-2022")</f>
        <v/>
      </c>
      <c r="T24">
        <f>HYPERLINK("https://klasma.github.io/Logging_2584/kartor/A 62435-2022 karta.png", "A 62435-2022")</f>
        <v/>
      </c>
      <c r="V24">
        <f>HYPERLINK("https://klasma.github.io/Logging_2584/klagomål/A 62435-2022 FSC-klagomål.docx", "A 62435-2022")</f>
        <v/>
      </c>
      <c r="W24">
        <f>HYPERLINK("https://klasma.github.io/Logging_2584/klagomålsmail/A 62435-2022 FSC-klagomål mail.docx", "A 62435-2022")</f>
        <v/>
      </c>
      <c r="X24">
        <f>HYPERLINK("https://klasma.github.io/Logging_2584/tillsyn/A 62435-2022 tillsynsbegäran.docx", "A 62435-2022")</f>
        <v/>
      </c>
      <c r="Y24">
        <f>HYPERLINK("https://klasma.github.io/Logging_2584/tillsynsmail/A 62435-2022 tillsynsbegäran mail.docx", "A 62435-2022")</f>
        <v/>
      </c>
    </row>
    <row r="25" ht="15" customHeight="1">
      <c r="A25" t="inlineStr">
        <is>
          <t>A 64829-2023</t>
        </is>
      </c>
      <c r="B25" s="1" t="n">
        <v>45281</v>
      </c>
      <c r="C25" s="1" t="n">
        <v>45574</v>
      </c>
      <c r="D25" t="inlineStr">
        <is>
          <t>NORRBOTTENS LÄN</t>
        </is>
      </c>
      <c r="E25" t="inlineStr">
        <is>
          <t>KIRUNA</t>
        </is>
      </c>
      <c r="G25" t="n">
        <v>31.7</v>
      </c>
      <c r="H25" t="n">
        <v>1</v>
      </c>
      <c r="I25" t="n">
        <v>0</v>
      </c>
      <c r="J25" t="n">
        <v>1</v>
      </c>
      <c r="K25" t="n">
        <v>0</v>
      </c>
      <c r="L25" t="n">
        <v>0</v>
      </c>
      <c r="M25" t="n">
        <v>0</v>
      </c>
      <c r="N25" t="n">
        <v>0</v>
      </c>
      <c r="O25" t="n">
        <v>1</v>
      </c>
      <c r="P25" t="n">
        <v>0</v>
      </c>
      <c r="Q25" t="n">
        <v>2</v>
      </c>
      <c r="R25" s="2" t="inlineStr">
        <is>
          <t>Månlåsbräken
Mattlummer</t>
        </is>
      </c>
      <c r="S25">
        <f>HYPERLINK("https://klasma.github.io/Logging_2584/artfynd/A 64829-2023 artfynd.xlsx", "A 64829-2023")</f>
        <v/>
      </c>
      <c r="T25">
        <f>HYPERLINK("https://klasma.github.io/Logging_2584/kartor/A 64829-2023 karta.png", "A 64829-2023")</f>
        <v/>
      </c>
      <c r="V25">
        <f>HYPERLINK("https://klasma.github.io/Logging_2584/klagomål/A 64829-2023 FSC-klagomål.docx", "A 64829-2023")</f>
        <v/>
      </c>
      <c r="W25">
        <f>HYPERLINK("https://klasma.github.io/Logging_2584/klagomålsmail/A 64829-2023 FSC-klagomål mail.docx", "A 64829-2023")</f>
        <v/>
      </c>
      <c r="X25">
        <f>HYPERLINK("https://klasma.github.io/Logging_2584/tillsyn/A 64829-2023 tillsynsbegäran.docx", "A 64829-2023")</f>
        <v/>
      </c>
      <c r="Y25">
        <f>HYPERLINK("https://klasma.github.io/Logging_2584/tillsynsmail/A 64829-2023 tillsynsbegäran mail.docx", "A 64829-2023")</f>
        <v/>
      </c>
    </row>
    <row r="26" ht="15" customHeight="1">
      <c r="A26" t="inlineStr">
        <is>
          <t>A 4367-2024</t>
        </is>
      </c>
      <c r="B26" s="1" t="n">
        <v>45326</v>
      </c>
      <c r="C26" s="1" t="n">
        <v>45574</v>
      </c>
      <c r="D26" t="inlineStr">
        <is>
          <t>NORRBOTTENS LÄN</t>
        </is>
      </c>
      <c r="E26" t="inlineStr">
        <is>
          <t>KIRUNA</t>
        </is>
      </c>
      <c r="G26" t="n">
        <v>7.5</v>
      </c>
      <c r="H26" t="n">
        <v>0</v>
      </c>
      <c r="I26" t="n">
        <v>0</v>
      </c>
      <c r="J26" t="n">
        <v>2</v>
      </c>
      <c r="K26" t="n">
        <v>0</v>
      </c>
      <c r="L26" t="n">
        <v>0</v>
      </c>
      <c r="M26" t="n">
        <v>0</v>
      </c>
      <c r="N26" t="n">
        <v>0</v>
      </c>
      <c r="O26" t="n">
        <v>2</v>
      </c>
      <c r="P26" t="n">
        <v>0</v>
      </c>
      <c r="Q26" t="n">
        <v>2</v>
      </c>
      <c r="R26" s="2" t="inlineStr">
        <is>
          <t>Granticka
Tallticka</t>
        </is>
      </c>
      <c r="S26">
        <f>HYPERLINK("https://klasma.github.io/Logging_2584/artfynd/A 4367-2024 artfynd.xlsx", "A 4367-2024")</f>
        <v/>
      </c>
      <c r="T26">
        <f>HYPERLINK("https://klasma.github.io/Logging_2584/kartor/A 4367-2024 karta.png", "A 4367-2024")</f>
        <v/>
      </c>
      <c r="V26">
        <f>HYPERLINK("https://klasma.github.io/Logging_2584/klagomål/A 4367-2024 FSC-klagomål.docx", "A 4367-2024")</f>
        <v/>
      </c>
      <c r="W26">
        <f>HYPERLINK("https://klasma.github.io/Logging_2584/klagomålsmail/A 4367-2024 FSC-klagomål mail.docx", "A 4367-2024")</f>
        <v/>
      </c>
      <c r="X26">
        <f>HYPERLINK("https://klasma.github.io/Logging_2584/tillsyn/A 4367-2024 tillsynsbegäran.docx", "A 4367-2024")</f>
        <v/>
      </c>
      <c r="Y26">
        <f>HYPERLINK("https://klasma.github.io/Logging_2584/tillsynsmail/A 4367-2024 tillsynsbegäran mail.docx", "A 4367-2024")</f>
        <v/>
      </c>
    </row>
    <row r="27" ht="15" customHeight="1">
      <c r="A27" t="inlineStr">
        <is>
          <t>A 22812-2019</t>
        </is>
      </c>
      <c r="B27" s="1" t="n">
        <v>43590</v>
      </c>
      <c r="C27" s="1" t="n">
        <v>45574</v>
      </c>
      <c r="D27" t="inlineStr">
        <is>
          <t>NORRBOTTENS LÄN</t>
        </is>
      </c>
      <c r="E27" t="inlineStr">
        <is>
          <t>KIRUNA</t>
        </is>
      </c>
      <c r="G27" t="n">
        <v>22.6</v>
      </c>
      <c r="H27" t="n">
        <v>0</v>
      </c>
      <c r="I27" t="n">
        <v>0</v>
      </c>
      <c r="J27" t="n">
        <v>1</v>
      </c>
      <c r="K27" t="n">
        <v>0</v>
      </c>
      <c r="L27" t="n">
        <v>0</v>
      </c>
      <c r="M27" t="n">
        <v>0</v>
      </c>
      <c r="N27" t="n">
        <v>0</v>
      </c>
      <c r="O27" t="n">
        <v>1</v>
      </c>
      <c r="P27" t="n">
        <v>0</v>
      </c>
      <c r="Q27" t="n">
        <v>1</v>
      </c>
      <c r="R27" s="2" t="inlineStr">
        <is>
          <t>Garnlav</t>
        </is>
      </c>
      <c r="S27">
        <f>HYPERLINK("https://klasma.github.io/Logging_2584/artfynd/A 22812-2019 artfynd.xlsx", "A 22812-2019")</f>
        <v/>
      </c>
      <c r="T27">
        <f>HYPERLINK("https://klasma.github.io/Logging_2584/kartor/A 22812-2019 karta.png", "A 22812-2019")</f>
        <v/>
      </c>
      <c r="V27">
        <f>HYPERLINK("https://klasma.github.io/Logging_2584/klagomål/A 22812-2019 FSC-klagomål.docx", "A 22812-2019")</f>
        <v/>
      </c>
      <c r="W27">
        <f>HYPERLINK("https://klasma.github.io/Logging_2584/klagomålsmail/A 22812-2019 FSC-klagomål mail.docx", "A 22812-2019")</f>
        <v/>
      </c>
      <c r="X27">
        <f>HYPERLINK("https://klasma.github.io/Logging_2584/tillsyn/A 22812-2019 tillsynsbegäran.docx", "A 22812-2019")</f>
        <v/>
      </c>
      <c r="Y27">
        <f>HYPERLINK("https://klasma.github.io/Logging_2584/tillsynsmail/A 22812-2019 tillsynsbegäran mail.docx", "A 22812-2019")</f>
        <v/>
      </c>
    </row>
    <row r="28" ht="15" customHeight="1">
      <c r="A28" t="inlineStr">
        <is>
          <t>A 61313-2019</t>
        </is>
      </c>
      <c r="B28" s="1" t="n">
        <v>43775</v>
      </c>
      <c r="C28" s="1" t="n">
        <v>45574</v>
      </c>
      <c r="D28" t="inlineStr">
        <is>
          <t>NORRBOTTENS LÄN</t>
        </is>
      </c>
      <c r="E28" t="inlineStr">
        <is>
          <t>KIRUNA</t>
        </is>
      </c>
      <c r="F28" t="inlineStr">
        <is>
          <t>Övriga statliga verk och myndigheter</t>
        </is>
      </c>
      <c r="G28" t="n">
        <v>28.7</v>
      </c>
      <c r="H28" t="n">
        <v>1</v>
      </c>
      <c r="I28" t="n">
        <v>0</v>
      </c>
      <c r="J28" t="n">
        <v>0</v>
      </c>
      <c r="K28" t="n">
        <v>1</v>
      </c>
      <c r="L28" t="n">
        <v>0</v>
      </c>
      <c r="M28" t="n">
        <v>0</v>
      </c>
      <c r="N28" t="n">
        <v>0</v>
      </c>
      <c r="O28" t="n">
        <v>1</v>
      </c>
      <c r="P28" t="n">
        <v>1</v>
      </c>
      <c r="Q28" t="n">
        <v>1</v>
      </c>
      <c r="R28" s="2" t="inlineStr">
        <is>
          <t>Norna</t>
        </is>
      </c>
      <c r="S28">
        <f>HYPERLINK("https://klasma.github.io/Logging_2584/artfynd/A 61313-2019 artfynd.xlsx", "A 61313-2019")</f>
        <v/>
      </c>
      <c r="T28">
        <f>HYPERLINK("https://klasma.github.io/Logging_2584/kartor/A 61313-2019 karta.png", "A 61313-2019")</f>
        <v/>
      </c>
      <c r="V28">
        <f>HYPERLINK("https://klasma.github.io/Logging_2584/klagomål/A 61313-2019 FSC-klagomål.docx", "A 61313-2019")</f>
        <v/>
      </c>
      <c r="W28">
        <f>HYPERLINK("https://klasma.github.io/Logging_2584/klagomålsmail/A 61313-2019 FSC-klagomål mail.docx", "A 61313-2019")</f>
        <v/>
      </c>
      <c r="X28">
        <f>HYPERLINK("https://klasma.github.io/Logging_2584/tillsyn/A 61313-2019 tillsynsbegäran.docx", "A 61313-2019")</f>
        <v/>
      </c>
      <c r="Y28">
        <f>HYPERLINK("https://klasma.github.io/Logging_2584/tillsynsmail/A 61313-2019 tillsynsbegäran mail.docx", "A 61313-2019")</f>
        <v/>
      </c>
    </row>
    <row r="29" ht="15" customHeight="1">
      <c r="A29" t="inlineStr">
        <is>
          <t>A 6878-2021</t>
        </is>
      </c>
      <c r="B29" s="1" t="n">
        <v>44237</v>
      </c>
      <c r="C29" s="1" t="n">
        <v>45574</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45574</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45574</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45574</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45574</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45574</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45574</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45574</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45574</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45574</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45574</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45574</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45574</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45574</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45574</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45574</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45574</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45574</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45574</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45574</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45574</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45574</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45574</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45574</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45574</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45574</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45574</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45574</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45574</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45574</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45574</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45574</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45574</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45574</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45574</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45574</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45574</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45574</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45574</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45574</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45574</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45574</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45574</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45574</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45574</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45574</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45574</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45574</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45574</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45574</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45574</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45574</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45574</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45574</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45574</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45574</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45574</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45574</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45574</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45574</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45574</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45574</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45574</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45574</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45574</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45574</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45574</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45574</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45574</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45574</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45574</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45574</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45574</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45574</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45574</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45574</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45574</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45574</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45574</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45574</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45574</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45574</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45574</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45574</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45574</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45574</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45574</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c r="A116" t="inlineStr">
        <is>
          <t>A 38577-2024</t>
        </is>
      </c>
      <c r="B116" s="1" t="n">
        <v>45546</v>
      </c>
      <c r="C116" s="1" t="n">
        <v>45574</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2024-10-09T12:46:19Z</dcterms:created>
  <dcterms:modified xmlns:dcterms="http://purl.org/dc/terms/" xmlns:xsi="http://www.w3.org/2001/XMLSchema-instance" xsi:type="dcterms:W3CDTF">2024-10-09T12:46:19Z</dcterms:modified>
</cp:coreProperties>
</file>