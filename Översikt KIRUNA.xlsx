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46289</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46289</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46289</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46289</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46289</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46289</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46289</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46289</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46289</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46289</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46289</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46289</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46289</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46289</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46289</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53264-2023</t>
        </is>
      </c>
      <c r="B19" t="inlineStr">
        <is>
          <t>avverkningsanmälan</t>
        </is>
      </c>
      <c r="C19" t="inlineStr">
        <is>
          <t>Föryngringsavverkning</t>
        </is>
      </c>
      <c r="D19" s="1" t="n">
        <v>45222</v>
      </c>
      <c r="E19" s="1" t="n">
        <v>46289</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46289</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58860-2022</t>
        </is>
      </c>
      <c r="B21" t="inlineStr">
        <is>
          <t>avverkningsanmälan</t>
        </is>
      </c>
      <c r="C21" t="inlineStr">
        <is>
          <t>Avverkning för annat ändamål</t>
        </is>
      </c>
      <c r="D21" s="1" t="n">
        <v>44896</v>
      </c>
      <c r="E21" s="1" t="n">
        <v>46289</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45810-2022</t>
        </is>
      </c>
      <c r="B22" t="inlineStr">
        <is>
          <t>avverkningsanmälan</t>
        </is>
      </c>
      <c r="C22" t="inlineStr">
        <is>
          <t>Avverkning för annat ändamål</t>
        </is>
      </c>
      <c r="D22" s="1" t="n">
        <v>44844</v>
      </c>
      <c r="E22" s="1" t="n">
        <v>46289</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46289</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46289</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5842-2023</t>
        </is>
      </c>
      <c r="B25" t="inlineStr">
        <is>
          <t>avverkningsanmälan</t>
        </is>
      </c>
      <c r="C25" t="inlineStr">
        <is>
          <t>Avverkning för annat ändamål</t>
        </is>
      </c>
      <c r="D25" s="1" t="n">
        <v>44958</v>
      </c>
      <c r="E25" s="1" t="n">
        <v>46289</v>
      </c>
      <c r="F25" t="inlineStr">
        <is>
          <t>NORRBOTTENS LÄN</t>
        </is>
      </c>
      <c r="G25" t="inlineStr">
        <is>
          <t>KIRUNA</t>
        </is>
      </c>
      <c r="I25" t="n">
        <v>2.9</v>
      </c>
      <c r="J25" t="n">
        <v>0</v>
      </c>
      <c r="K25" t="n">
        <v>0</v>
      </c>
      <c r="L25" t="n">
        <v>0</v>
      </c>
      <c r="M25" t="n">
        <v>1</v>
      </c>
      <c r="N25" t="n">
        <v>0</v>
      </c>
      <c r="O25" t="n">
        <v>0</v>
      </c>
      <c r="P25" t="n">
        <v>0</v>
      </c>
      <c r="Q25" t="n">
        <v>1</v>
      </c>
      <c r="R25" t="n">
        <v>1</v>
      </c>
      <c r="S25" t="n">
        <v>1</v>
      </c>
      <c r="T25" t="n">
        <v>1</v>
      </c>
      <c r="U25" t="n">
        <v>0</v>
      </c>
      <c r="V25" s="2" t="inlineStr">
        <is>
          <t>Fjällsotlav</t>
        </is>
      </c>
      <c r="W25">
        <f>HYPERLINK("https://klasma.github.io/Logging_2584/artfynd/A 5842-2023 artfynd.xlsx", "A 5842-2023")</f>
        <v/>
      </c>
      <c r="X25">
        <f>HYPERLINK("https://klasma.github.io/Logging_2584/kartor/A 5842-2023 karta.png", "A 5842-2023")</f>
        <v/>
      </c>
      <c r="Y25">
        <f>HYPERLINK("https://klasma.github.io/Logging_2584/kartor_geotiff/A 5842-2023 georefererad karta.tif", "A 5842-2023")</f>
        <v/>
      </c>
      <c r="AA25">
        <f>HYPERLINK("https://klasma.github.io/Logging_2584/klagomål/A 5842-2023 FSC-klagomål.docx", "A 5842-2023")</f>
        <v/>
      </c>
      <c r="AB25">
        <f>HYPERLINK("https://klasma.github.io/Logging_2584/klagomålsmail/A 5842-2023 FSC-klagomål mail.docx", "A 5842-2023")</f>
        <v/>
      </c>
      <c r="AC25">
        <f>HYPERLINK("https://klasma.github.io/Logging_2584/tillsyn/A 5842-2023 tillsynsbegäran.docx", "A 5842-2023")</f>
        <v/>
      </c>
      <c r="AD25">
        <f>HYPERLINK("https://klasma.github.io/Logging_2584/tillsynsmail/A 5842-2023 tillsynsbegäran mail.docx", "A 5842-2023")</f>
        <v/>
      </c>
    </row>
    <row r="26" ht="15" customHeight="1">
      <c r="A26" t="inlineStr">
        <is>
          <t>A 4367-2024</t>
        </is>
      </c>
      <c r="B26" t="inlineStr">
        <is>
          <t>avverkningsanmälan</t>
        </is>
      </c>
      <c r="C26" t="inlineStr">
        <is>
          <t>Föryngringsavverkning</t>
        </is>
      </c>
      <c r="D26" s="1" t="n">
        <v>45326</v>
      </c>
      <c r="E26" s="1" t="n">
        <v>46289</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46289</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46289</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35757-2026</t>
        </is>
      </c>
      <c r="B29" t="inlineStr">
        <is>
          <t>avverkningsanmälan</t>
        </is>
      </c>
      <c r="C29" t="inlineStr">
        <is>
          <t>Föryngringsavverkning</t>
        </is>
      </c>
      <c r="D29" s="1" t="n">
        <v>46265</v>
      </c>
      <c r="E29" s="1" t="n">
        <v>46289</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46289</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46289</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47730-2024</t>
        </is>
      </c>
      <c r="B32" t="inlineStr">
        <is>
          <t>avverkningsanmälan</t>
        </is>
      </c>
      <c r="C32" t="inlineStr">
        <is>
          <t>Föryngringsavverkning</t>
        </is>
      </c>
      <c r="D32" s="1" t="n">
        <v>45588</v>
      </c>
      <c r="E32" s="1" t="n">
        <v>46289</v>
      </c>
      <c r="F32" t="inlineStr">
        <is>
          <t>NORRBOTTENS LÄN</t>
        </is>
      </c>
      <c r="G32" t="inlineStr">
        <is>
          <t>KIRUNA</t>
        </is>
      </c>
      <c r="H32" t="inlineStr">
        <is>
          <t>Allmännings- och besparingsskogar</t>
        </is>
      </c>
      <c r="I32" t="n">
        <v>3.7</v>
      </c>
      <c r="J32" t="n">
        <v>0</v>
      </c>
      <c r="K32" t="n">
        <v>0</v>
      </c>
      <c r="L32" t="n">
        <v>0</v>
      </c>
      <c r="M32" t="n">
        <v>0</v>
      </c>
      <c r="N32" t="n">
        <v>0</v>
      </c>
      <c r="O32" t="n">
        <v>0</v>
      </c>
      <c r="P32" t="n">
        <v>0</v>
      </c>
      <c r="Q32" t="n">
        <v>0</v>
      </c>
      <c r="R32" t="n">
        <v>0</v>
      </c>
      <c r="S32" t="n">
        <v>0</v>
      </c>
      <c r="T32" t="n">
        <v>0</v>
      </c>
      <c r="U32" t="n">
        <v>0</v>
      </c>
      <c r="V32" s="2" t="inlineStr"/>
    </row>
    <row r="33" ht="15" customHeight="1">
      <c r="A33" t="inlineStr">
        <is>
          <t>A 36939-2022</t>
        </is>
      </c>
      <c r="B33" t="inlineStr">
        <is>
          <t>avverkningsanmälan</t>
        </is>
      </c>
      <c r="C33" t="inlineStr">
        <is>
          <t>Avverkning för annat ändamål</t>
        </is>
      </c>
      <c r="D33" s="1" t="n">
        <v>44805</v>
      </c>
      <c r="E33" s="1" t="n">
        <v>46289</v>
      </c>
      <c r="F33" t="inlineStr">
        <is>
          <t>NORRBOTTENS LÄN</t>
        </is>
      </c>
      <c r="G33" t="inlineStr">
        <is>
          <t>KIRUNA</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46289</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46289</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46289</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46289</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50590-2023</t>
        </is>
      </c>
      <c r="B38" t="inlineStr">
        <is>
          <t>avverkningsanmälan</t>
        </is>
      </c>
      <c r="C38" t="inlineStr">
        <is>
          <t>Föryngringsavverkning</t>
        </is>
      </c>
      <c r="D38" s="1" t="n">
        <v>45217</v>
      </c>
      <c r="E38" s="1" t="n">
        <v>46289</v>
      </c>
      <c r="F38" t="inlineStr">
        <is>
          <t>NORRBOTTENS LÄN</t>
        </is>
      </c>
      <c r="G38" t="inlineStr">
        <is>
          <t>KIRUNA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22494-2024</t>
        </is>
      </c>
      <c r="B39" t="inlineStr">
        <is>
          <t>avverkningsanmälan</t>
        </is>
      </c>
      <c r="C39" t="inlineStr">
        <is>
          <t>Föryngringsavverkning</t>
        </is>
      </c>
      <c r="D39" s="1" t="n">
        <v>45447</v>
      </c>
      <c r="E39" s="1" t="n">
        <v>46289</v>
      </c>
      <c r="F39" t="inlineStr">
        <is>
          <t>NORRBOTTENS LÄN</t>
        </is>
      </c>
      <c r="G39" t="inlineStr">
        <is>
          <t>KIRUNA</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46289</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38577-2024</t>
        </is>
      </c>
      <c r="B41" t="inlineStr">
        <is>
          <t>avverkningsanmälan</t>
        </is>
      </c>
      <c r="C41" t="inlineStr">
        <is>
          <t>Föryngringsavverkning</t>
        </is>
      </c>
      <c r="D41" s="1" t="n">
        <v>45546</v>
      </c>
      <c r="E41" s="1" t="n">
        <v>46289</v>
      </c>
      <c r="F41" t="inlineStr">
        <is>
          <t>NORRBOTTENS LÄN</t>
        </is>
      </c>
      <c r="G41" t="inlineStr">
        <is>
          <t>KIRUNA</t>
        </is>
      </c>
      <c r="I41" t="n">
        <v>39.8</v>
      </c>
      <c r="J41" t="n">
        <v>0</v>
      </c>
      <c r="K41" t="n">
        <v>0</v>
      </c>
      <c r="L41" t="n">
        <v>0</v>
      </c>
      <c r="M41" t="n">
        <v>0</v>
      </c>
      <c r="N41" t="n">
        <v>0</v>
      </c>
      <c r="O41" t="n">
        <v>0</v>
      </c>
      <c r="P41" t="n">
        <v>0</v>
      </c>
      <c r="Q41" t="n">
        <v>0</v>
      </c>
      <c r="R41" t="n">
        <v>0</v>
      </c>
      <c r="S41" t="n">
        <v>0</v>
      </c>
      <c r="T41" t="n">
        <v>0</v>
      </c>
      <c r="U41" t="n">
        <v>0</v>
      </c>
      <c r="V41" s="2" t="inlineStr"/>
    </row>
    <row r="42" ht="15" customHeight="1">
      <c r="A42" t="inlineStr">
        <is>
          <t>A 13526-2024</t>
        </is>
      </c>
      <c r="B42" t="inlineStr">
        <is>
          <t>avverkningsanmälan</t>
        </is>
      </c>
      <c r="C42" t="inlineStr">
        <is>
          <t>Föryngringsavverkning</t>
        </is>
      </c>
      <c r="D42" s="1" t="n">
        <v>45387</v>
      </c>
      <c r="E42" s="1" t="n">
        <v>46289</v>
      </c>
      <c r="F42" t="inlineStr">
        <is>
          <t>NORRBOTTENS LÄN</t>
        </is>
      </c>
      <c r="G42" t="inlineStr">
        <is>
          <t>KIRUNA</t>
        </is>
      </c>
      <c r="I42" t="n">
        <v>8.199999999999999</v>
      </c>
      <c r="J42" t="n">
        <v>0</v>
      </c>
      <c r="K42" t="n">
        <v>0</v>
      </c>
      <c r="L42" t="n">
        <v>0</v>
      </c>
      <c r="M42" t="n">
        <v>0</v>
      </c>
      <c r="N42" t="n">
        <v>0</v>
      </c>
      <c r="O42" t="n">
        <v>0</v>
      </c>
      <c r="P42" t="n">
        <v>0</v>
      </c>
      <c r="Q42" t="n">
        <v>0</v>
      </c>
      <c r="R42" t="n">
        <v>0</v>
      </c>
      <c r="S42" t="n">
        <v>0</v>
      </c>
      <c r="T42" t="n">
        <v>0</v>
      </c>
      <c r="U42" t="n">
        <v>0</v>
      </c>
      <c r="V42" s="2" t="inlineStr"/>
    </row>
    <row r="43" ht="15" customHeight="1">
      <c r="A43" t="inlineStr">
        <is>
          <t>A 39247-2023</t>
        </is>
      </c>
      <c r="B43" t="inlineStr">
        <is>
          <t>avverkningsanmälan</t>
        </is>
      </c>
      <c r="C43" t="inlineStr">
        <is>
          <t>Föryngringsavverkning</t>
        </is>
      </c>
      <c r="D43" s="1" t="n">
        <v>45162</v>
      </c>
      <c r="E43" s="1" t="n">
        <v>46289</v>
      </c>
      <c r="F43" t="inlineStr">
        <is>
          <t>NORRBOTTENS LÄN</t>
        </is>
      </c>
      <c r="G43" t="inlineStr">
        <is>
          <t>KIRUNA</t>
        </is>
      </c>
      <c r="I43" t="n">
        <v>11.7</v>
      </c>
      <c r="J43" t="n">
        <v>0</v>
      </c>
      <c r="K43" t="n">
        <v>0</v>
      </c>
      <c r="L43" t="n">
        <v>0</v>
      </c>
      <c r="M43" t="n">
        <v>0</v>
      </c>
      <c r="N43" t="n">
        <v>0</v>
      </c>
      <c r="O43" t="n">
        <v>0</v>
      </c>
      <c r="P43" t="n">
        <v>0</v>
      </c>
      <c r="Q43" t="n">
        <v>0</v>
      </c>
      <c r="R43" t="n">
        <v>0</v>
      </c>
      <c r="S43" t="n">
        <v>0</v>
      </c>
      <c r="T43" t="n">
        <v>0</v>
      </c>
      <c r="U43" t="n">
        <v>0</v>
      </c>
      <c r="V43" s="2" t="inlineStr"/>
    </row>
    <row r="44" ht="15" customHeight="1">
      <c r="A44" t="inlineStr">
        <is>
          <t>A 62439-2022</t>
        </is>
      </c>
      <c r="B44" t="inlineStr">
        <is>
          <t>avverkningsanmälan</t>
        </is>
      </c>
      <c r="C44" t="inlineStr">
        <is>
          <t>Föryngringsavverkning</t>
        </is>
      </c>
      <c r="D44" s="1" t="n">
        <v>44916</v>
      </c>
      <c r="E44" s="1" t="n">
        <v>46289</v>
      </c>
      <c r="F44" t="inlineStr">
        <is>
          <t>NORRBOTTENS LÄN</t>
        </is>
      </c>
      <c r="G44" t="inlineStr">
        <is>
          <t>KIRUNA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22504-2024</t>
        </is>
      </c>
      <c r="B45" t="inlineStr">
        <is>
          <t>avverkningsanmälan</t>
        </is>
      </c>
      <c r="C45" t="inlineStr">
        <is>
          <t>Föryngringsavverkning</t>
        </is>
      </c>
      <c r="D45" s="1" t="n">
        <v>45447</v>
      </c>
      <c r="E45" s="1" t="n">
        <v>46289</v>
      </c>
      <c r="F45" t="inlineStr">
        <is>
          <t>NORRBOTTENS LÄN</t>
        </is>
      </c>
      <c r="G45" t="inlineStr">
        <is>
          <t>KIRUNA</t>
        </is>
      </c>
      <c r="I45" t="n">
        <v>15.6</v>
      </c>
      <c r="J45" t="n">
        <v>0</v>
      </c>
      <c r="K45" t="n">
        <v>0</v>
      </c>
      <c r="L45" t="n">
        <v>0</v>
      </c>
      <c r="M45" t="n">
        <v>0</v>
      </c>
      <c r="N45" t="n">
        <v>0</v>
      </c>
      <c r="O45" t="n">
        <v>0</v>
      </c>
      <c r="P45" t="n">
        <v>0</v>
      </c>
      <c r="Q45" t="n">
        <v>0</v>
      </c>
      <c r="R45" t="n">
        <v>0</v>
      </c>
      <c r="S45" t="n">
        <v>0</v>
      </c>
      <c r="T45" t="n">
        <v>0</v>
      </c>
      <c r="U45" t="n">
        <v>0</v>
      </c>
      <c r="V45" s="2" t="inlineStr"/>
    </row>
    <row r="46" ht="15" customHeight="1">
      <c r="A46" t="inlineStr">
        <is>
          <t>A 5476-2024</t>
        </is>
      </c>
      <c r="B46" t="inlineStr">
        <is>
          <t>avverkningsanmälan</t>
        </is>
      </c>
      <c r="C46" t="inlineStr">
        <is>
          <t>Föryngringsavverkning</t>
        </is>
      </c>
      <c r="D46" s="1" t="n">
        <v>45333</v>
      </c>
      <c r="E46" s="1" t="n">
        <v>46289</v>
      </c>
      <c r="F46" t="inlineStr">
        <is>
          <t>NORRBOTTENS LÄN</t>
        </is>
      </c>
      <c r="G46" t="inlineStr">
        <is>
          <t>KIRUNA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20744-2024</t>
        </is>
      </c>
      <c r="B47" t="inlineStr">
        <is>
          <t>avverkningsanmälan</t>
        </is>
      </c>
      <c r="C47" t="inlineStr">
        <is>
          <t>Föryngringsavverkning</t>
        </is>
      </c>
      <c r="D47" s="1" t="n">
        <v>45436</v>
      </c>
      <c r="E47" s="1" t="n">
        <v>46289</v>
      </c>
      <c r="F47" t="inlineStr">
        <is>
          <t>NORRBOTTENS LÄN</t>
        </is>
      </c>
      <c r="G47" t="inlineStr">
        <is>
          <t>KIRUNA</t>
        </is>
      </c>
      <c r="I47" t="n">
        <v>9.699999999999999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46289</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18721-2024</t>
        </is>
      </c>
      <c r="B49" t="inlineStr">
        <is>
          <t>avverkningsanmälan</t>
        </is>
      </c>
      <c r="C49" t="inlineStr">
        <is>
          <t>Föryngringsavverkning</t>
        </is>
      </c>
      <c r="D49" s="1" t="n">
        <v>45426</v>
      </c>
      <c r="E49" s="1" t="n">
        <v>46289</v>
      </c>
      <c r="F49" t="inlineStr">
        <is>
          <t>NORRBOTTENS LÄN</t>
        </is>
      </c>
      <c r="G49" t="inlineStr">
        <is>
          <t>KIRUNA</t>
        </is>
      </c>
      <c r="I49" t="n">
        <v>62.1</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46289</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20893-2025</t>
        </is>
      </c>
      <c r="B51" t="inlineStr">
        <is>
          <t>avverkningsanmälan</t>
        </is>
      </c>
      <c r="C51" t="inlineStr">
        <is>
          <t>Föryngringsavverkning</t>
        </is>
      </c>
      <c r="D51" s="1" t="n">
        <v>45776</v>
      </c>
      <c r="E51" s="1" t="n">
        <v>46289</v>
      </c>
      <c r="F51" t="inlineStr">
        <is>
          <t>NORRBOTTENS LÄN</t>
        </is>
      </c>
      <c r="G51" t="inlineStr">
        <is>
          <t>KIRUNA</t>
        </is>
      </c>
      <c r="I51" t="n">
        <v>27.3</v>
      </c>
      <c r="J51" t="n">
        <v>0</v>
      </c>
      <c r="K51" t="n">
        <v>0</v>
      </c>
      <c r="L51" t="n">
        <v>0</v>
      </c>
      <c r="M51" t="n">
        <v>0</v>
      </c>
      <c r="N51" t="n">
        <v>0</v>
      </c>
      <c r="O51" t="n">
        <v>0</v>
      </c>
      <c r="P51" t="n">
        <v>0</v>
      </c>
      <c r="Q51" t="n">
        <v>0</v>
      </c>
      <c r="R51" t="n">
        <v>0</v>
      </c>
      <c r="S51" t="n">
        <v>0</v>
      </c>
      <c r="T51" t="n">
        <v>0</v>
      </c>
      <c r="U51" t="n">
        <v>0</v>
      </c>
      <c r="V51" s="2" t="inlineStr"/>
    </row>
    <row r="52" ht="15" customHeight="1">
      <c r="A52" t="inlineStr">
        <is>
          <t>A 18738-2022</t>
        </is>
      </c>
      <c r="B52" t="inlineStr">
        <is>
          <t>avverkningsanmälan</t>
        </is>
      </c>
      <c r="C52" t="inlineStr">
        <is>
          <t>Avverkning för annat ändamål</t>
        </is>
      </c>
      <c r="D52" s="1" t="n">
        <v>44687</v>
      </c>
      <c r="E52" s="1" t="n">
        <v>46289</v>
      </c>
      <c r="F52" t="inlineStr">
        <is>
          <t>NORRBOTTENS LÄN</t>
        </is>
      </c>
      <c r="G52" t="inlineStr">
        <is>
          <t>KIRUNA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9068-2023</t>
        </is>
      </c>
      <c r="B53" t="inlineStr">
        <is>
          <t>avverkningsanmälan</t>
        </is>
      </c>
      <c r="C53" t="inlineStr">
        <is>
          <t>Föryngringsavverkning</t>
        </is>
      </c>
      <c r="D53" s="1" t="n">
        <v>44979</v>
      </c>
      <c r="E53" s="1" t="n">
        <v>46289</v>
      </c>
      <c r="F53" t="inlineStr">
        <is>
          <t>NORRBOTTENS LÄN</t>
        </is>
      </c>
      <c r="G53" t="inlineStr">
        <is>
          <t>KIRUNA</t>
        </is>
      </c>
      <c r="H53" t="inlineStr">
        <is>
          <t>SCA</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28707-2022</t>
        </is>
      </c>
      <c r="B54" t="inlineStr">
        <is>
          <t>avverkningsanmälan</t>
        </is>
      </c>
      <c r="C54" t="inlineStr">
        <is>
          <t>Föryngringsavverkning</t>
        </is>
      </c>
      <c r="D54" s="1" t="n">
        <v>44748</v>
      </c>
      <c r="E54" s="1" t="n">
        <v>46289</v>
      </c>
      <c r="F54" t="inlineStr">
        <is>
          <t>NORRBOTTENS LÄN</t>
        </is>
      </c>
      <c r="G54" t="inlineStr">
        <is>
          <t>KIRUNA</t>
        </is>
      </c>
      <c r="I54" t="n">
        <v>15.2</v>
      </c>
      <c r="J54" t="n">
        <v>0</v>
      </c>
      <c r="K54" t="n">
        <v>0</v>
      </c>
      <c r="L54" t="n">
        <v>0</v>
      </c>
      <c r="M54" t="n">
        <v>0</v>
      </c>
      <c r="N54" t="n">
        <v>0</v>
      </c>
      <c r="O54" t="n">
        <v>0</v>
      </c>
      <c r="P54" t="n">
        <v>0</v>
      </c>
      <c r="Q54" t="n">
        <v>0</v>
      </c>
      <c r="R54" t="n">
        <v>0</v>
      </c>
      <c r="S54" t="n">
        <v>0</v>
      </c>
      <c r="T54" t="n">
        <v>0</v>
      </c>
      <c r="U54" t="n">
        <v>0</v>
      </c>
      <c r="V54" s="2" t="inlineStr"/>
    </row>
    <row r="55" ht="15" customHeight="1">
      <c r="A55" t="inlineStr">
        <is>
          <t>A 39006-2023</t>
        </is>
      </c>
      <c r="B55" t="inlineStr">
        <is>
          <t>avverkningsanmälan</t>
        </is>
      </c>
      <c r="C55" t="inlineStr">
        <is>
          <t>Avverkning för annat ändamål</t>
        </is>
      </c>
      <c r="D55" s="1" t="n">
        <v>45162</v>
      </c>
      <c r="E55" s="1" t="n">
        <v>46289</v>
      </c>
      <c r="F55" t="inlineStr">
        <is>
          <t>NORRBOTTENS LÄN</t>
        </is>
      </c>
      <c r="G55" t="inlineStr">
        <is>
          <t>KIRUNA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23469-2022</t>
        </is>
      </c>
      <c r="B56" t="inlineStr">
        <is>
          <t>avverkningsanmälan</t>
        </is>
      </c>
      <c r="C56" t="inlineStr">
        <is>
          <t>Föryngringsavverkning</t>
        </is>
      </c>
      <c r="D56" s="1" t="n">
        <v>44721</v>
      </c>
      <c r="E56" s="1" t="n">
        <v>46289</v>
      </c>
      <c r="F56" t="inlineStr">
        <is>
          <t>NORRBOTTENS LÄN</t>
        </is>
      </c>
      <c r="G56" t="inlineStr">
        <is>
          <t>KIRUNA</t>
        </is>
      </c>
      <c r="I56" t="n">
        <v>11.8</v>
      </c>
      <c r="J56" t="n">
        <v>0</v>
      </c>
      <c r="K56" t="n">
        <v>0</v>
      </c>
      <c r="L56" t="n">
        <v>0</v>
      </c>
      <c r="M56" t="n">
        <v>0</v>
      </c>
      <c r="N56" t="n">
        <v>0</v>
      </c>
      <c r="O56" t="n">
        <v>0</v>
      </c>
      <c r="P56" t="n">
        <v>0</v>
      </c>
      <c r="Q56" t="n">
        <v>0</v>
      </c>
      <c r="R56" t="n">
        <v>0</v>
      </c>
      <c r="S56" t="n">
        <v>0</v>
      </c>
      <c r="T56" t="n">
        <v>0</v>
      </c>
      <c r="U56" t="n">
        <v>0</v>
      </c>
      <c r="V56" s="2" t="inlineStr"/>
    </row>
    <row r="57" ht="15" customHeight="1">
      <c r="A57" t="inlineStr">
        <is>
          <t>A 62452-2022</t>
        </is>
      </c>
      <c r="B57" t="inlineStr">
        <is>
          <t>avverkningsanmälan</t>
        </is>
      </c>
      <c r="C57" t="inlineStr">
        <is>
          <t>Föryngringsavverkning</t>
        </is>
      </c>
      <c r="D57" s="1" t="n">
        <v>44916</v>
      </c>
      <c r="E57" s="1" t="n">
        <v>46289</v>
      </c>
      <c r="F57" t="inlineStr">
        <is>
          <t>NORRBOTTENS LÄN</t>
        </is>
      </c>
      <c r="G57" t="inlineStr">
        <is>
          <t>KIRUNA</t>
        </is>
      </c>
      <c r="I57" t="n">
        <v>7.2</v>
      </c>
      <c r="J57" t="n">
        <v>0</v>
      </c>
      <c r="K57" t="n">
        <v>0</v>
      </c>
      <c r="L57" t="n">
        <v>0</v>
      </c>
      <c r="M57" t="n">
        <v>0</v>
      </c>
      <c r="N57" t="n">
        <v>0</v>
      </c>
      <c r="O57" t="n">
        <v>0</v>
      </c>
      <c r="P57" t="n">
        <v>0</v>
      </c>
      <c r="Q57" t="n">
        <v>0</v>
      </c>
      <c r="R57" t="n">
        <v>0</v>
      </c>
      <c r="S57" t="n">
        <v>0</v>
      </c>
      <c r="T57" t="n">
        <v>0</v>
      </c>
      <c r="U57" t="n">
        <v>0</v>
      </c>
      <c r="V57" s="2" t="inlineStr"/>
    </row>
    <row r="58" ht="15" customHeight="1">
      <c r="A58" t="inlineStr">
        <is>
          <t>A 62460-2022</t>
        </is>
      </c>
      <c r="B58" t="inlineStr">
        <is>
          <t>avverkningsanmälan</t>
        </is>
      </c>
      <c r="C58" t="inlineStr">
        <is>
          <t>Föryngringsavverkning</t>
        </is>
      </c>
      <c r="D58" s="1" t="n">
        <v>44916</v>
      </c>
      <c r="E58" s="1" t="n">
        <v>46289</v>
      </c>
      <c r="F58" t="inlineStr">
        <is>
          <t>NORRBOTTENS LÄN</t>
        </is>
      </c>
      <c r="G58" t="inlineStr">
        <is>
          <t>KIRUNA</t>
        </is>
      </c>
      <c r="I58" t="n">
        <v>13.4</v>
      </c>
      <c r="J58" t="n">
        <v>0</v>
      </c>
      <c r="K58" t="n">
        <v>0</v>
      </c>
      <c r="L58" t="n">
        <v>0</v>
      </c>
      <c r="M58" t="n">
        <v>0</v>
      </c>
      <c r="N58" t="n">
        <v>0</v>
      </c>
      <c r="O58" t="n">
        <v>0</v>
      </c>
      <c r="P58" t="n">
        <v>0</v>
      </c>
      <c r="Q58" t="n">
        <v>0</v>
      </c>
      <c r="R58" t="n">
        <v>0</v>
      </c>
      <c r="S58" t="n">
        <v>0</v>
      </c>
      <c r="T58" t="n">
        <v>0</v>
      </c>
      <c r="U58" t="n">
        <v>0</v>
      </c>
      <c r="V58" s="2" t="inlineStr"/>
    </row>
    <row r="59" ht="15" customHeight="1">
      <c r="A59" t="inlineStr">
        <is>
          <t>A 39271-2023</t>
        </is>
      </c>
      <c r="B59" t="inlineStr">
        <is>
          <t>avverkningsanmälan</t>
        </is>
      </c>
      <c r="C59" t="inlineStr">
        <is>
          <t>Föryngringsavverkning</t>
        </is>
      </c>
      <c r="D59" s="1" t="n">
        <v>45162</v>
      </c>
      <c r="E59" s="1" t="n">
        <v>46289</v>
      </c>
      <c r="F59" t="inlineStr">
        <is>
          <t>NORRBOTTENS LÄN</t>
        </is>
      </c>
      <c r="G59" t="inlineStr">
        <is>
          <t>KIRUNA</t>
        </is>
      </c>
      <c r="I59" t="n">
        <v>51.9</v>
      </c>
      <c r="J59" t="n">
        <v>0</v>
      </c>
      <c r="K59" t="n">
        <v>0</v>
      </c>
      <c r="L59" t="n">
        <v>0</v>
      </c>
      <c r="M59" t="n">
        <v>0</v>
      </c>
      <c r="N59" t="n">
        <v>0</v>
      </c>
      <c r="O59" t="n">
        <v>0</v>
      </c>
      <c r="P59" t="n">
        <v>0</v>
      </c>
      <c r="Q59" t="n">
        <v>0</v>
      </c>
      <c r="R59" t="n">
        <v>0</v>
      </c>
      <c r="S59" t="n">
        <v>0</v>
      </c>
      <c r="T59" t="n">
        <v>0</v>
      </c>
      <c r="U59" t="n">
        <v>0</v>
      </c>
      <c r="V59" s="2" t="inlineStr"/>
    </row>
    <row r="60" ht="15" customHeight="1">
      <c r="A60" t="inlineStr">
        <is>
          <t>A 148-2026</t>
        </is>
      </c>
      <c r="B60" t="inlineStr">
        <is>
          <t>avverkningsanmälan</t>
        </is>
      </c>
      <c r="C60" t="inlineStr">
        <is>
          <t>Föryngringsavverkning</t>
        </is>
      </c>
      <c r="D60" s="1" t="n">
        <v>46024</v>
      </c>
      <c r="E60" s="1" t="n">
        <v>46289</v>
      </c>
      <c r="F60" t="inlineStr">
        <is>
          <t>NORRBOTTENS LÄN</t>
        </is>
      </c>
      <c r="G60" t="inlineStr">
        <is>
          <t>KIRUNA</t>
        </is>
      </c>
      <c r="I60" t="n">
        <v>10.2</v>
      </c>
      <c r="J60" t="n">
        <v>0</v>
      </c>
      <c r="K60" t="n">
        <v>0</v>
      </c>
      <c r="L60" t="n">
        <v>0</v>
      </c>
      <c r="M60" t="n">
        <v>0</v>
      </c>
      <c r="N60" t="n">
        <v>0</v>
      </c>
      <c r="O60" t="n">
        <v>0</v>
      </c>
      <c r="P60" t="n">
        <v>0</v>
      </c>
      <c r="Q60" t="n">
        <v>0</v>
      </c>
      <c r="R60" t="n">
        <v>0</v>
      </c>
      <c r="S60" t="n">
        <v>0</v>
      </c>
      <c r="T60" t="n">
        <v>0</v>
      </c>
      <c r="U60" t="n">
        <v>0</v>
      </c>
      <c r="V60" s="2" t="inlineStr"/>
    </row>
    <row r="61" ht="15" customHeight="1">
      <c r="A61" t="inlineStr">
        <is>
          <t>A 49704-2024</t>
        </is>
      </c>
      <c r="B61" t="inlineStr">
        <is>
          <t>avverkningsanmälan</t>
        </is>
      </c>
      <c r="C61" t="inlineStr">
        <is>
          <t>Föryngringsavverkning</t>
        </is>
      </c>
      <c r="D61" s="1" t="n">
        <v>45596</v>
      </c>
      <c r="E61" s="1" t="n">
        <v>46289</v>
      </c>
      <c r="F61" t="inlineStr">
        <is>
          <t>NORRBOTTENS LÄN</t>
        </is>
      </c>
      <c r="G61" t="inlineStr">
        <is>
          <t>KIRUNA</t>
        </is>
      </c>
      <c r="I61" t="n">
        <v>17.4</v>
      </c>
      <c r="J61" t="n">
        <v>0</v>
      </c>
      <c r="K61" t="n">
        <v>0</v>
      </c>
      <c r="L61" t="n">
        <v>0</v>
      </c>
      <c r="M61" t="n">
        <v>0</v>
      </c>
      <c r="N61" t="n">
        <v>0</v>
      </c>
      <c r="O61" t="n">
        <v>0</v>
      </c>
      <c r="P61" t="n">
        <v>0</v>
      </c>
      <c r="Q61" t="n">
        <v>0</v>
      </c>
      <c r="R61" t="n">
        <v>0</v>
      </c>
      <c r="S61" t="n">
        <v>0</v>
      </c>
      <c r="T61" t="n">
        <v>0</v>
      </c>
      <c r="U61" t="n">
        <v>0</v>
      </c>
      <c r="V61" s="2" t="inlineStr"/>
    </row>
    <row r="62" ht="15" customHeight="1">
      <c r="A62" t="inlineStr">
        <is>
          <t>A 22491-2024</t>
        </is>
      </c>
      <c r="B62" t="inlineStr">
        <is>
          <t>avverkningsanmälan</t>
        </is>
      </c>
      <c r="C62" t="inlineStr">
        <is>
          <t>Föryngringsavverkning</t>
        </is>
      </c>
      <c r="D62" s="1" t="n">
        <v>45447</v>
      </c>
      <c r="E62" s="1" t="n">
        <v>46289</v>
      </c>
      <c r="F62" t="inlineStr">
        <is>
          <t>NORRBOTTENS LÄN</t>
        </is>
      </c>
      <c r="G62" t="inlineStr">
        <is>
          <t>KIRUNA</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46289</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93-2024</t>
        </is>
      </c>
      <c r="B64" t="inlineStr">
        <is>
          <t>avverkningsanmälan</t>
        </is>
      </c>
      <c r="C64" t="inlineStr">
        <is>
          <t>Avverkning för annat ändamål</t>
        </is>
      </c>
      <c r="D64" s="1" t="n">
        <v>45293</v>
      </c>
      <c r="E64" s="1" t="n">
        <v>46289</v>
      </c>
      <c r="F64" t="inlineStr">
        <is>
          <t>NORRBOTTENS LÄN</t>
        </is>
      </c>
      <c r="G64" t="inlineStr">
        <is>
          <t>KIRUNA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37993-2026</t>
        </is>
      </c>
      <c r="B65" t="inlineStr">
        <is>
          <t>avverkningsanmälan</t>
        </is>
      </c>
      <c r="C65" t="inlineStr">
        <is>
          <t>Föryngringsavverkning</t>
        </is>
      </c>
      <c r="D65" s="1" t="n">
        <v>46280</v>
      </c>
      <c r="E65" s="1" t="n">
        <v>46289</v>
      </c>
      <c r="F65" t="inlineStr">
        <is>
          <t>NORRBOTTENS LÄN</t>
        </is>
      </c>
      <c r="G65" t="inlineStr">
        <is>
          <t>KIRUNA</t>
        </is>
      </c>
      <c r="I65" t="n">
        <v>54.2</v>
      </c>
      <c r="J65" t="n">
        <v>0</v>
      </c>
      <c r="K65" t="n">
        <v>0</v>
      </c>
      <c r="L65" t="n">
        <v>0</v>
      </c>
      <c r="M65" t="n">
        <v>0</v>
      </c>
      <c r="N65" t="n">
        <v>0</v>
      </c>
      <c r="O65" t="n">
        <v>0</v>
      </c>
      <c r="P65" t="n">
        <v>0</v>
      </c>
      <c r="Q65" t="n">
        <v>0</v>
      </c>
      <c r="R65" t="n">
        <v>0</v>
      </c>
      <c r="S65" t="n">
        <v>0</v>
      </c>
      <c r="T65" t="n">
        <v>0</v>
      </c>
      <c r="U65" t="n">
        <v>0</v>
      </c>
      <c r="V65" s="2" t="inlineStr"/>
    </row>
    <row r="66" ht="15" customHeight="1">
      <c r="A66" t="inlineStr">
        <is>
          <t>A 39321-2026</t>
        </is>
      </c>
      <c r="B66" t="inlineStr">
        <is>
          <t>avverkningsanmälan</t>
        </is>
      </c>
      <c r="C66" t="inlineStr">
        <is>
          <t>Föryngringsavverkning</t>
        </is>
      </c>
      <c r="D66" s="1" t="n">
        <v>46288</v>
      </c>
      <c r="E66" s="1" t="n">
        <v>46289</v>
      </c>
      <c r="F66" t="inlineStr">
        <is>
          <t>NORRBOTTENS LÄN</t>
        </is>
      </c>
      <c r="G66" t="inlineStr">
        <is>
          <t>KIRUNA</t>
        </is>
      </c>
      <c r="I66" t="n">
        <v>13.6</v>
      </c>
      <c r="J66" t="n">
        <v>0</v>
      </c>
      <c r="K66" t="n">
        <v>0</v>
      </c>
      <c r="L66" t="n">
        <v>0</v>
      </c>
      <c r="M66" t="n">
        <v>0</v>
      </c>
      <c r="N66" t="n">
        <v>0</v>
      </c>
      <c r="O66" t="n">
        <v>0</v>
      </c>
      <c r="P66" t="n">
        <v>0</v>
      </c>
      <c r="Q66" t="n">
        <v>0</v>
      </c>
      <c r="R66" t="n">
        <v>0</v>
      </c>
      <c r="S66" t="n">
        <v>0</v>
      </c>
      <c r="T66" t="n">
        <v>0</v>
      </c>
      <c r="U66" t="n">
        <v>0</v>
      </c>
      <c r="V66" s="2" t="inlineStr"/>
    </row>
    <row r="67" ht="15" customHeight="1">
      <c r="A67" t="inlineStr">
        <is>
          <t>A 39064-2026</t>
        </is>
      </c>
      <c r="B67" t="inlineStr">
        <is>
          <t>avverkningsanmälan</t>
        </is>
      </c>
      <c r="C67" t="inlineStr">
        <is>
          <t>Föryngringsavverkning</t>
        </is>
      </c>
      <c r="D67" s="1" t="n">
        <v>46287</v>
      </c>
      <c r="E67" s="1" t="n">
        <v>46289</v>
      </c>
      <c r="F67" t="inlineStr">
        <is>
          <t>NORRBOTTENS LÄN</t>
        </is>
      </c>
      <c r="G67" t="inlineStr">
        <is>
          <t>KIRUNA</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46289</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34664-2025</t>
        </is>
      </c>
      <c r="B69" t="inlineStr">
        <is>
          <t>avverkningsanmälan</t>
        </is>
      </c>
      <c r="C69" t="inlineStr">
        <is>
          <t>Föryngringsavverkning</t>
        </is>
      </c>
      <c r="D69" s="1" t="n">
        <v>45848</v>
      </c>
      <c r="E69" s="1" t="n">
        <v>46289</v>
      </c>
      <c r="F69" t="inlineStr">
        <is>
          <t>NORRBOTTENS LÄN</t>
        </is>
      </c>
      <c r="G69" t="inlineStr">
        <is>
          <t>KIRUNA</t>
        </is>
      </c>
      <c r="I69" t="n">
        <v>8.4</v>
      </c>
      <c r="J69" t="n">
        <v>0</v>
      </c>
      <c r="K69" t="n">
        <v>0</v>
      </c>
      <c r="L69" t="n">
        <v>0</v>
      </c>
      <c r="M69" t="n">
        <v>0</v>
      </c>
      <c r="N69" t="n">
        <v>0</v>
      </c>
      <c r="O69" t="n">
        <v>0</v>
      </c>
      <c r="P69" t="n">
        <v>0</v>
      </c>
      <c r="Q69" t="n">
        <v>0</v>
      </c>
      <c r="R69" t="n">
        <v>0</v>
      </c>
      <c r="S69" t="n">
        <v>0</v>
      </c>
      <c r="T69" t="n">
        <v>0</v>
      </c>
      <c r="U69" t="n">
        <v>0</v>
      </c>
      <c r="V69" s="2" t="inlineStr"/>
    </row>
    <row r="70" ht="15" customHeight="1">
      <c r="A70" t="inlineStr">
        <is>
          <t>A 34663-2025</t>
        </is>
      </c>
      <c r="B70" t="inlineStr">
        <is>
          <t>avverkningsanmälan</t>
        </is>
      </c>
      <c r="C70" t="inlineStr">
        <is>
          <t>Föryngringsavverkning</t>
        </is>
      </c>
      <c r="D70" s="1" t="n">
        <v>45848</v>
      </c>
      <c r="E70" s="1" t="n">
        <v>46289</v>
      </c>
      <c r="F70" t="inlineStr">
        <is>
          <t>NORRBOTTENS LÄN</t>
        </is>
      </c>
      <c r="G70" t="inlineStr">
        <is>
          <t>KIRUNA</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13405-2026</t>
        </is>
      </c>
      <c r="B71" t="inlineStr">
        <is>
          <t>avverkningsanmälan</t>
        </is>
      </c>
      <c r="C71" t="inlineStr">
        <is>
          <t>Föryngringsavverkning</t>
        </is>
      </c>
      <c r="D71" s="1" t="n">
        <v>46094</v>
      </c>
      <c r="E71" s="1" t="n">
        <v>46289</v>
      </c>
      <c r="F71" t="inlineStr">
        <is>
          <t>NORRBOTTENS LÄN</t>
        </is>
      </c>
      <c r="G71" t="inlineStr">
        <is>
          <t>KIRUNA</t>
        </is>
      </c>
      <c r="I71" t="n">
        <v>24.5</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46289</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16197-2026</t>
        </is>
      </c>
      <c r="B73" t="inlineStr">
        <is>
          <t>avverkningsanmälan</t>
        </is>
      </c>
      <c r="C73" t="inlineStr">
        <is>
          <t>Avverkning för annat ändamål</t>
        </is>
      </c>
      <c r="D73" s="1" t="n">
        <v>46108</v>
      </c>
      <c r="E73" s="1" t="n">
        <v>46289</v>
      </c>
      <c r="F73" t="inlineStr">
        <is>
          <t>NORRBOTTENS LÄN</t>
        </is>
      </c>
      <c r="G73" t="inlineStr">
        <is>
          <t>KIRUNA</t>
        </is>
      </c>
      <c r="H73" t="inlineStr">
        <is>
          <t>Övriga statliga verk och myndigheter</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18388-2026</t>
        </is>
      </c>
      <c r="B74" t="inlineStr">
        <is>
          <t>avverkningsanmälan</t>
        </is>
      </c>
      <c r="C74" t="inlineStr">
        <is>
          <t>Föryngringsavverkning</t>
        </is>
      </c>
      <c r="D74" s="1" t="n">
        <v>46126</v>
      </c>
      <c r="E74" s="1" t="n">
        <v>46289</v>
      </c>
      <c r="F74" t="inlineStr">
        <is>
          <t>NORRBOTTENS LÄN</t>
        </is>
      </c>
      <c r="G74" t="inlineStr">
        <is>
          <t>KIRUNA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12937-2026</t>
        </is>
      </c>
      <c r="B75" t="inlineStr">
        <is>
          <t>avverkningsanmälan</t>
        </is>
      </c>
      <c r="C75" t="inlineStr">
        <is>
          <t>Föryngringsavverkning</t>
        </is>
      </c>
      <c r="D75" s="1" t="n">
        <v>46092</v>
      </c>
      <c r="E75" s="1" t="n">
        <v>46289</v>
      </c>
      <c r="F75" t="inlineStr">
        <is>
          <t>NORRBOTTENS LÄN</t>
        </is>
      </c>
      <c r="G75" t="inlineStr">
        <is>
          <t>KIRUNA</t>
        </is>
      </c>
      <c r="I75" t="n">
        <v>37.2</v>
      </c>
      <c r="J75" t="n">
        <v>0</v>
      </c>
      <c r="K75" t="n">
        <v>0</v>
      </c>
      <c r="L75" t="n">
        <v>0</v>
      </c>
      <c r="M75" t="n">
        <v>0</v>
      </c>
      <c r="N75" t="n">
        <v>0</v>
      </c>
      <c r="O75" t="n">
        <v>0</v>
      </c>
      <c r="P75" t="n">
        <v>0</v>
      </c>
      <c r="Q75" t="n">
        <v>0</v>
      </c>
      <c r="R75" t="n">
        <v>0</v>
      </c>
      <c r="S75" t="n">
        <v>0</v>
      </c>
      <c r="T75" t="n">
        <v>0</v>
      </c>
      <c r="U75" t="n">
        <v>0</v>
      </c>
      <c r="V75" s="2" t="inlineStr"/>
    </row>
    <row r="76" ht="15" customHeight="1">
      <c r="A76" t="inlineStr">
        <is>
          <t>A 12969-2026</t>
        </is>
      </c>
      <c r="B76" t="inlineStr">
        <is>
          <t>avverkningsanmälan</t>
        </is>
      </c>
      <c r="C76" t="inlineStr">
        <is>
          <t>Föryngringsavverkning</t>
        </is>
      </c>
      <c r="D76" s="1" t="n">
        <v>46092</v>
      </c>
      <c r="E76" s="1" t="n">
        <v>46289</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34693-2022</t>
        </is>
      </c>
      <c r="B77" t="inlineStr">
        <is>
          <t>avverkningsanmälan</t>
        </is>
      </c>
      <c r="C77" t="inlineStr">
        <is>
          <t>Föryngringsavverkning</t>
        </is>
      </c>
      <c r="D77" s="1" t="n">
        <v>44795</v>
      </c>
      <c r="E77" s="1" t="n">
        <v>46289</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t="n">
        <v>0</v>
      </c>
      <c r="V77" s="2" t="inlineStr"/>
    </row>
    <row r="78" ht="15" customHeight="1">
      <c r="A78" t="inlineStr">
        <is>
          <t>A 5533-2024</t>
        </is>
      </c>
      <c r="B78" t="inlineStr">
        <is>
          <t>avverkningsanmälan</t>
        </is>
      </c>
      <c r="C78" t="inlineStr">
        <is>
          <t>Avverkning för annat ändamål</t>
        </is>
      </c>
      <c r="D78" s="1" t="n">
        <v>45334</v>
      </c>
      <c r="E78" s="1" t="n">
        <v>46289</v>
      </c>
      <c r="F78" t="inlineStr">
        <is>
          <t>NORRBOTTENS LÄN</t>
        </is>
      </c>
      <c r="G78" t="inlineStr">
        <is>
          <t>KIRUNA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56168-2023</t>
        </is>
      </c>
      <c r="B79" t="inlineStr">
        <is>
          <t>avverkningsanmälan</t>
        </is>
      </c>
      <c r="C79" t="inlineStr">
        <is>
          <t>Avverkning för annat ändamål</t>
        </is>
      </c>
      <c r="D79" s="1" t="n">
        <v>45236</v>
      </c>
      <c r="E79" s="1" t="n">
        <v>46289</v>
      </c>
      <c r="F79" t="inlineStr">
        <is>
          <t>NORRBOTTENS LÄN</t>
        </is>
      </c>
      <c r="G79" t="inlineStr">
        <is>
          <t>KIRUNA</t>
        </is>
      </c>
      <c r="H79" t="inlineStr">
        <is>
          <t>Sveaskog</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8350-2025</t>
        </is>
      </c>
      <c r="B80" t="inlineStr">
        <is>
          <t>avverkningsanmälan</t>
        </is>
      </c>
      <c r="C80" t="inlineStr">
        <is>
          <t>Avverkning för annat ändamål</t>
        </is>
      </c>
      <c r="D80" s="1" t="n">
        <v>45708</v>
      </c>
      <c r="E80" s="1" t="n">
        <v>46289</v>
      </c>
      <c r="F80" t="inlineStr">
        <is>
          <t>NORRBOTTENS LÄN</t>
        </is>
      </c>
      <c r="G80" t="inlineStr">
        <is>
          <t>KIRUNA</t>
        </is>
      </c>
      <c r="H80" t="inlineStr">
        <is>
          <t>Övriga statliga verk och myndigheter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46289</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29167-2026</t>
        </is>
      </c>
      <c r="B82" t="inlineStr">
        <is>
          <t>avverkningsanmälan</t>
        </is>
      </c>
      <c r="C82" t="inlineStr">
        <is>
          <t>Föryngringsavverkning</t>
        </is>
      </c>
      <c r="D82" s="1" t="n">
        <v>46202</v>
      </c>
      <c r="E82" s="1" t="n">
        <v>46289</v>
      </c>
      <c r="F82" t="inlineStr">
        <is>
          <t>NORRBOTTENS LÄN</t>
        </is>
      </c>
      <c r="G82" t="inlineStr">
        <is>
          <t>KIRUNA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29048-2026</t>
        </is>
      </c>
      <c r="B83" t="inlineStr">
        <is>
          <t>avverkningsanmälan</t>
        </is>
      </c>
      <c r="C83" t="inlineStr">
        <is>
          <t>Föryngringsavverkning</t>
        </is>
      </c>
      <c r="D83" s="1" t="n">
        <v>46199</v>
      </c>
      <c r="E83" s="1" t="n">
        <v>46289</v>
      </c>
      <c r="F83" t="inlineStr">
        <is>
          <t>NORRBOTTENS LÄN</t>
        </is>
      </c>
      <c r="G83" t="inlineStr">
        <is>
          <t>KIRUNA</t>
        </is>
      </c>
      <c r="I83" t="n">
        <v>16.9</v>
      </c>
      <c r="J83" t="n">
        <v>0</v>
      </c>
      <c r="K83" t="n">
        <v>0</v>
      </c>
      <c r="L83" t="n">
        <v>0</v>
      </c>
      <c r="M83" t="n">
        <v>0</v>
      </c>
      <c r="N83" t="n">
        <v>0</v>
      </c>
      <c r="O83" t="n">
        <v>0</v>
      </c>
      <c r="P83" t="n">
        <v>0</v>
      </c>
      <c r="Q83" t="n">
        <v>0</v>
      </c>
      <c r="R83" t="n">
        <v>0</v>
      </c>
      <c r="S83" t="n">
        <v>0</v>
      </c>
      <c r="T83" t="n">
        <v>0</v>
      </c>
      <c r="U83" t="n">
        <v>0</v>
      </c>
      <c r="V83" s="2" t="inlineStr"/>
    </row>
    <row r="84" ht="15" customHeight="1">
      <c r="A84" t="inlineStr">
        <is>
          <t>A 29231-2026</t>
        </is>
      </c>
      <c r="B84" t="inlineStr">
        <is>
          <t>avverkningsanmälan</t>
        </is>
      </c>
      <c r="C84" t="inlineStr">
        <is>
          <t>Föryngringsavverkning</t>
        </is>
      </c>
      <c r="D84" s="1" t="n">
        <v>46202</v>
      </c>
      <c r="E84" s="1" t="n">
        <v>46289</v>
      </c>
      <c r="F84" t="inlineStr">
        <is>
          <t>NORRBOTTENS LÄN</t>
        </is>
      </c>
      <c r="G84" t="inlineStr">
        <is>
          <t>KIRUNA</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30562-2026</t>
        </is>
      </c>
      <c r="B85" t="inlineStr">
        <is>
          <t>avverkningsanmälan</t>
        </is>
      </c>
      <c r="C85" t="inlineStr">
        <is>
          <t>Föryngringsavverkning</t>
        </is>
      </c>
      <c r="D85" s="1" t="n">
        <v>46210</v>
      </c>
      <c r="E85" s="1" t="n">
        <v>46289</v>
      </c>
      <c r="F85" t="inlineStr">
        <is>
          <t>NORRBOTTENS LÄN</t>
        </is>
      </c>
      <c r="G85" t="inlineStr">
        <is>
          <t>KIRUNA</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30594-2026</t>
        </is>
      </c>
      <c r="B86" t="inlineStr">
        <is>
          <t>avverkningsanmälan</t>
        </is>
      </c>
      <c r="C86" t="inlineStr">
        <is>
          <t>Föryngringsavverkning</t>
        </is>
      </c>
      <c r="D86" s="1" t="n">
        <v>46210</v>
      </c>
      <c r="E86" s="1" t="n">
        <v>46289</v>
      </c>
      <c r="F86" t="inlineStr">
        <is>
          <t>NORRBOTTENS LÄN</t>
        </is>
      </c>
      <c r="G86" t="inlineStr">
        <is>
          <t>KIRUNA</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30591-2026</t>
        </is>
      </c>
      <c r="B87" t="inlineStr">
        <is>
          <t>avverkningsanmälan</t>
        </is>
      </c>
      <c r="C87" t="inlineStr">
        <is>
          <t>Föryngringsavverkning</t>
        </is>
      </c>
      <c r="D87" s="1" t="n">
        <v>46210</v>
      </c>
      <c r="E87" s="1" t="n">
        <v>46289</v>
      </c>
      <c r="F87" t="inlineStr">
        <is>
          <t>NORRBOTTENS LÄN</t>
        </is>
      </c>
      <c r="G87" t="inlineStr">
        <is>
          <t>KIRUNA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35765-2026</t>
        </is>
      </c>
      <c r="B88" t="inlineStr">
        <is>
          <t>avverkningsanmälan</t>
        </is>
      </c>
      <c r="C88" t="inlineStr">
        <is>
          <t>Föryngringsavverkning</t>
        </is>
      </c>
      <c r="D88" s="1" t="n">
        <v>46265</v>
      </c>
      <c r="E88" s="1" t="n">
        <v>46289</v>
      </c>
      <c r="F88" t="inlineStr">
        <is>
          <t>NORRBOTTENS LÄN</t>
        </is>
      </c>
      <c r="G88" t="inlineStr">
        <is>
          <t>KIRUNA</t>
        </is>
      </c>
      <c r="I88" t="n">
        <v>2.7</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46289</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2026-09-24T01:55:12Z</dcterms:created>
  <dcterms:modified xmlns:dcterms="http://purl.org/dc/terms/" xmlns:xsi="http://www.w3.org/2001/XMLSchema-instance" xsi:type="dcterms:W3CDTF">2026-09-24T01:55:12Z</dcterms:modified>
</cp:coreProperties>
</file>