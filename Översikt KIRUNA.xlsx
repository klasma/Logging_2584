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46304</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46304</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46304</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46304</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46304</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46304</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46304</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46304</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46304</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46304</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46304</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46304</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46304</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46304</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46304</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46304</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46304</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46304</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46304</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46304</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46304</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46304</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46304</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46304</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4367-2024</t>
        </is>
      </c>
      <c r="B26" t="inlineStr">
        <is>
          <t>avverkningsanmälan</t>
        </is>
      </c>
      <c r="C26" t="inlineStr">
        <is>
          <t>Föryngringsavverkning</t>
        </is>
      </c>
      <c r="D26" s="1" t="n">
        <v>45326</v>
      </c>
      <c r="E26" s="1" t="n">
        <v>46304</v>
      </c>
      <c r="F26" t="inlineStr">
        <is>
          <t>NORRBOTTENS LÄN</t>
        </is>
      </c>
      <c r="G26" t="inlineStr">
        <is>
          <t>KIRUNA</t>
        </is>
      </c>
      <c r="I26" t="n">
        <v>7.5</v>
      </c>
      <c r="J26" t="n">
        <v>0</v>
      </c>
      <c r="K26" t="n">
        <v>0</v>
      </c>
      <c r="L26" t="n">
        <v>1</v>
      </c>
      <c r="M26" t="n">
        <v>0</v>
      </c>
      <c r="N26" t="n">
        <v>0</v>
      </c>
      <c r="O26" t="n">
        <v>0</v>
      </c>
      <c r="P26" t="n">
        <v>0</v>
      </c>
      <c r="Q26" t="n">
        <v>1</v>
      </c>
      <c r="R26" t="n">
        <v>0</v>
      </c>
      <c r="S26" t="n">
        <v>1</v>
      </c>
      <c r="T26" t="n">
        <v>1</v>
      </c>
      <c r="U26" t="n">
        <v>1</v>
      </c>
      <c r="V26" s="2" t="inlineStr">
        <is>
          <t>Tallticka</t>
        </is>
      </c>
      <c r="W26">
        <f>HYPERLINK("https://klasma.github.io/Logging_2584/artfynd/A 4367-2024 artfynd.xlsx", "A 4367-2024")</f>
        <v/>
      </c>
      <c r="X26">
        <f>HYPERLINK("https://klasma.github.io/Logging_2584/kartor/A 4367-2024 karta.png", "A 4367-2024")</f>
        <v/>
      </c>
      <c r="Y26">
        <f>HYPERLINK("https://klasma.github.io/Logging_2584/kartor_geotiff/A 4367-2024 georefererad karta.tif", "A 4367-2024")</f>
        <v/>
      </c>
      <c r="AA26">
        <f>HYPERLINK("https://klasma.github.io/Logging_2584/klagomål/A 4367-2024 FSC-klagomål.docx", "A 4367-2024")</f>
        <v/>
      </c>
      <c r="AB26">
        <f>HYPERLINK("https://klasma.github.io/Logging_2584/klagomålsmail/A 4367-2024 FSC-klagomål mail.docx", "A 4367-2024")</f>
        <v/>
      </c>
      <c r="AC26">
        <f>HYPERLINK("https://klasma.github.io/Logging_2584/tillsyn/A 4367-2024 tillsynsbegäran.docx", "A 4367-2024")</f>
        <v/>
      </c>
      <c r="AD26">
        <f>HYPERLINK("https://klasma.github.io/Logging_2584/tillsynsmail/A 4367-2024 tillsynsbegäran mail.docx", "A 4367-2024")</f>
        <v/>
      </c>
    </row>
    <row r="27" ht="15" customHeight="1">
      <c r="A27" t="inlineStr">
        <is>
          <t>A 16024-2024</t>
        </is>
      </c>
      <c r="B27" t="inlineStr">
        <is>
          <t>avverkningsanmälan</t>
        </is>
      </c>
      <c r="C27" t="inlineStr">
        <is>
          <t>Föryngringsavverkning</t>
        </is>
      </c>
      <c r="D27" s="1" t="n">
        <v>45405</v>
      </c>
      <c r="E27" s="1" t="n">
        <v>46304</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2660-2026</t>
        </is>
      </c>
      <c r="B28" t="inlineStr">
        <is>
          <t>avverkningsanmälan</t>
        </is>
      </c>
      <c r="C28" t="inlineStr">
        <is>
          <t>Föryngringsavverkning</t>
        </is>
      </c>
      <c r="D28" s="1" t="n">
        <v>46037</v>
      </c>
      <c r="E28" s="1" t="n">
        <v>46304</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5842-2023</t>
        </is>
      </c>
      <c r="B29" t="inlineStr">
        <is>
          <t>avverkningsanmälan</t>
        </is>
      </c>
      <c r="C29" t="inlineStr">
        <is>
          <t>Avverkning för annat ändamål</t>
        </is>
      </c>
      <c r="D29" s="1" t="n">
        <v>44958</v>
      </c>
      <c r="E29" s="1" t="n">
        <v>46304</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35757-2026</t>
        </is>
      </c>
      <c r="B30" t="inlineStr">
        <is>
          <t>avverkningsanmälan</t>
        </is>
      </c>
      <c r="C30" t="inlineStr">
        <is>
          <t>Föryngringsavverkning</t>
        </is>
      </c>
      <c r="D30" s="1" t="n">
        <v>46265</v>
      </c>
      <c r="E30" s="1" t="n">
        <v>46304</v>
      </c>
      <c r="F30" t="inlineStr">
        <is>
          <t>NORRBOTTENS LÄN</t>
        </is>
      </c>
      <c r="G30" t="inlineStr">
        <is>
          <t>KIRUNA</t>
        </is>
      </c>
      <c r="I30" t="n">
        <v>6.1</v>
      </c>
      <c r="J30" t="n">
        <v>0</v>
      </c>
      <c r="K30" t="n">
        <v>0</v>
      </c>
      <c r="L30" t="n">
        <v>1</v>
      </c>
      <c r="M30" t="n">
        <v>0</v>
      </c>
      <c r="N30" t="n">
        <v>0</v>
      </c>
      <c r="O30" t="n">
        <v>0</v>
      </c>
      <c r="P30" t="n">
        <v>0</v>
      </c>
      <c r="Q30" t="n">
        <v>1</v>
      </c>
      <c r="R30" t="n">
        <v>0</v>
      </c>
      <c r="S30" t="n">
        <v>1</v>
      </c>
      <c r="T30" t="n">
        <v>1</v>
      </c>
      <c r="U30" t="n">
        <v>0</v>
      </c>
      <c r="V30" s="2" t="inlineStr">
        <is>
          <t>Ullticka</t>
        </is>
      </c>
      <c r="W30">
        <f>HYPERLINK("https://klasma.github.io/Logging_2584/artfynd/A 35757-2026 artfynd.xlsx", "A 35757-2026")</f>
        <v/>
      </c>
      <c r="X30">
        <f>HYPERLINK("https://klasma.github.io/Logging_2584/kartor/A 35757-2026 karta.png", "A 35757-2026")</f>
        <v/>
      </c>
      <c r="Y30">
        <f>HYPERLINK("https://klasma.github.io/Logging_2584/kartor_geotiff/A 35757-2026 georefererad karta.tif", "A 35757-2026")</f>
        <v/>
      </c>
      <c r="AA30">
        <f>HYPERLINK("https://klasma.github.io/Logging_2584/klagomål/A 35757-2026 FSC-klagomål.docx", "A 35757-2026")</f>
        <v/>
      </c>
      <c r="AB30">
        <f>HYPERLINK("https://klasma.github.io/Logging_2584/klagomålsmail/A 35757-2026 FSC-klagomål mail.docx", "A 35757-2026")</f>
        <v/>
      </c>
      <c r="AC30">
        <f>HYPERLINK("https://klasma.github.io/Logging_2584/tillsyn/A 35757-2026 tillsynsbegäran.docx", "A 35757-2026")</f>
        <v/>
      </c>
      <c r="AD30">
        <f>HYPERLINK("https://klasma.github.io/Logging_2584/tillsynsmail/A 35757-2026 tillsynsbegäran mail.docx", "A 35757-2026")</f>
        <v/>
      </c>
    </row>
    <row r="31" ht="15" customHeight="1">
      <c r="A31" t="inlineStr">
        <is>
          <t>A 61066-2024</t>
        </is>
      </c>
      <c r="B31" t="inlineStr">
        <is>
          <t>avverkningsanmälan</t>
        </is>
      </c>
      <c r="C31" t="inlineStr">
        <is>
          <t>Föryngringsavverkning</t>
        </is>
      </c>
      <c r="D31" s="1" t="n">
        <v>45645</v>
      </c>
      <c r="E31" s="1" t="n">
        <v>46304</v>
      </c>
      <c r="F31" t="inlineStr">
        <is>
          <t>NORRBOTTENS LÄN</t>
        </is>
      </c>
      <c r="G31" t="inlineStr">
        <is>
          <t>KIRUNA</t>
        </is>
      </c>
      <c r="I31" t="n">
        <v>4.5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HYPERLINK("https://klasma.github.io/Logging_2584/artfynd/A 61066-2024 artfynd.xlsx", "A 61066-2024")</f>
        <v/>
      </c>
      <c r="X31">
        <f>HYPERLINK("https://klasma.github.io/Logging_2584/kartor/A 61066-2024 karta.png", "A 61066-2024")</f>
        <v/>
      </c>
      <c r="Y31">
        <f>HYPERLINK("https://klasma.github.io/Logging_2584/kartor_geotiff/A 61066-2024 georefererad karta.tif", "A 61066-2024")</f>
        <v/>
      </c>
      <c r="AA31">
        <f>HYPERLINK("https://klasma.github.io/Logging_2584/klagomål/A 61066-2024 FSC-klagomål.docx", "A 61066-2024")</f>
        <v/>
      </c>
      <c r="AB31">
        <f>HYPERLINK("https://klasma.github.io/Logging_2584/klagomålsmail/A 61066-2024 FSC-klagomål mail.docx", "A 61066-2024")</f>
        <v/>
      </c>
      <c r="AC31">
        <f>HYPERLINK("https://klasma.github.io/Logging_2584/tillsyn/A 61066-2024 tillsynsbegäran.docx", "A 61066-2024")</f>
        <v/>
      </c>
      <c r="AD31">
        <f>HYPERLINK("https://klasma.github.io/Logging_2584/tillsynsmail/A 61066-2024 tillsynsbegäran mail.docx", "A 61066-2024")</f>
        <v/>
      </c>
      <c r="AE31">
        <f>HYPERLINK("https://klasma.github.io/Logging_2584/fåglar/A 61066-2024 prioriterade fågelarter.docx", "A 61066-2024")</f>
        <v/>
      </c>
    </row>
    <row r="32" ht="15" customHeight="1">
      <c r="A32" t="inlineStr">
        <is>
          <t>A 60064-2023</t>
        </is>
      </c>
      <c r="B32" t="inlineStr">
        <is>
          <t>avverkningsanmälan</t>
        </is>
      </c>
      <c r="C32" t="inlineStr">
        <is>
          <t>Föryngringsavverkning</t>
        </is>
      </c>
      <c r="D32" s="1" t="n">
        <v>45258</v>
      </c>
      <c r="E32" s="1" t="n">
        <v>46304</v>
      </c>
      <c r="F32" t="inlineStr">
        <is>
          <t>NORRBOTTENS LÄN</t>
        </is>
      </c>
      <c r="G32" t="inlineStr">
        <is>
          <t>KIRUNA</t>
        </is>
      </c>
      <c r="I32" t="n">
        <v>19.8</v>
      </c>
      <c r="J32" t="n">
        <v>1</v>
      </c>
      <c r="K32" t="n">
        <v>0</v>
      </c>
      <c r="L32" t="n">
        <v>0</v>
      </c>
      <c r="M32" t="n">
        <v>0</v>
      </c>
      <c r="N32" t="n">
        <v>0</v>
      </c>
      <c r="O32" t="n">
        <v>0</v>
      </c>
      <c r="P32" t="n">
        <v>0</v>
      </c>
      <c r="Q32" t="n">
        <v>0</v>
      </c>
      <c r="R32" t="n">
        <v>0</v>
      </c>
      <c r="S32" t="n">
        <v>1</v>
      </c>
      <c r="T32" t="n">
        <v>2</v>
      </c>
      <c r="U32" t="n">
        <v>2</v>
      </c>
      <c r="V32" s="2" t="inlineStr">
        <is>
          <t>Tjäder</t>
        </is>
      </c>
      <c r="W32">
        <f>HYPERLINK("https://klasma.github.io/Logging_2584/artfynd/A 60064-2023 artfynd.xlsx", "A 60064-2023")</f>
        <v/>
      </c>
      <c r="X32">
        <f>HYPERLINK("https://klasma.github.io/Logging_2584/kartor/A 60064-2023 karta.png", "A 60064-2023")</f>
        <v/>
      </c>
      <c r="Y32">
        <f>HYPERLINK("https://klasma.github.io/Logging_2584/kartor_geotiff/A 60064-2023 georefererad karta.tif", "A 60064-2023")</f>
        <v/>
      </c>
      <c r="AA32">
        <f>HYPERLINK("https://klasma.github.io/Logging_2584/klagomål/A 60064-2023 FSC-klagomål.docx", "A 60064-2023")</f>
        <v/>
      </c>
      <c r="AB32">
        <f>HYPERLINK("https://klasma.github.io/Logging_2584/klagomålsmail/A 60064-2023 FSC-klagomål mail.docx", "A 60064-2023")</f>
        <v/>
      </c>
      <c r="AC32">
        <f>HYPERLINK("https://klasma.github.io/Logging_2584/tillsyn/A 60064-2023 tillsynsbegäran.docx", "A 60064-2023")</f>
        <v/>
      </c>
      <c r="AD32">
        <f>HYPERLINK("https://klasma.github.io/Logging_2584/tillsynsmail/A 60064-2023 tillsynsbegäran mail.docx", "A 60064-2023")</f>
        <v/>
      </c>
      <c r="AE32">
        <f>HYPERLINK("https://klasma.github.io/Logging_2584/fåglar/A 60064-2023 prioriterade fågelarter.docx", "A 60064-2023")</f>
        <v/>
      </c>
    </row>
    <row r="33" ht="15" customHeight="1">
      <c r="A33" t="inlineStr">
        <is>
          <t>A 45205-2022</t>
        </is>
      </c>
      <c r="B33" t="inlineStr">
        <is>
          <t>avverkningsanmälan</t>
        </is>
      </c>
      <c r="C33" t="inlineStr">
        <is>
          <t>Avverkning för annat ändamål</t>
        </is>
      </c>
      <c r="D33" s="1" t="n">
        <v>44840</v>
      </c>
      <c r="E33" s="1" t="n">
        <v>46304</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46304</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46304</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46304</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39247-2023</t>
        </is>
      </c>
      <c r="B37" t="inlineStr">
        <is>
          <t>avverkningsanmälan</t>
        </is>
      </c>
      <c r="C37" t="inlineStr">
        <is>
          <t>Föryngringsavverkning</t>
        </is>
      </c>
      <c r="D37" s="1" t="n">
        <v>45162</v>
      </c>
      <c r="E37" s="1" t="n">
        <v>46304</v>
      </c>
      <c r="F37" t="inlineStr">
        <is>
          <t>NORRBOTTENS LÄN</t>
        </is>
      </c>
      <c r="G37" t="inlineStr">
        <is>
          <t>KIRUNA</t>
        </is>
      </c>
      <c r="I37" t="n">
        <v>11.7</v>
      </c>
      <c r="J37" t="n">
        <v>0</v>
      </c>
      <c r="K37" t="n">
        <v>0</v>
      </c>
      <c r="L37" t="n">
        <v>0</v>
      </c>
      <c r="M37" t="n">
        <v>0</v>
      </c>
      <c r="N37" t="n">
        <v>0</v>
      </c>
      <c r="O37" t="n">
        <v>0</v>
      </c>
      <c r="P37" t="n">
        <v>0</v>
      </c>
      <c r="Q37" t="n">
        <v>0</v>
      </c>
      <c r="R37" t="n">
        <v>0</v>
      </c>
      <c r="S37" t="n">
        <v>0</v>
      </c>
      <c r="T37" t="n">
        <v>0</v>
      </c>
      <c r="U37" t="n">
        <v>0</v>
      </c>
      <c r="V37" s="2" t="inlineStr"/>
    </row>
    <row r="38" ht="15" customHeight="1">
      <c r="A38" t="inlineStr">
        <is>
          <t>A 62460-2022</t>
        </is>
      </c>
      <c r="B38" t="inlineStr">
        <is>
          <t>avverkningsanmälan</t>
        </is>
      </c>
      <c r="C38" t="inlineStr">
        <is>
          <t>Föryngringsavverkning</t>
        </is>
      </c>
      <c r="D38" s="1" t="n">
        <v>44916</v>
      </c>
      <c r="E38" s="1" t="n">
        <v>46304</v>
      </c>
      <c r="F38" t="inlineStr">
        <is>
          <t>NORRBOTTENS LÄN</t>
        </is>
      </c>
      <c r="G38" t="inlineStr">
        <is>
          <t>KIRUNA</t>
        </is>
      </c>
      <c r="I38" t="n">
        <v>13.4</v>
      </c>
      <c r="J38" t="n">
        <v>0</v>
      </c>
      <c r="K38" t="n">
        <v>0</v>
      </c>
      <c r="L38" t="n">
        <v>0</v>
      </c>
      <c r="M38" t="n">
        <v>0</v>
      </c>
      <c r="N38" t="n">
        <v>0</v>
      </c>
      <c r="O38" t="n">
        <v>0</v>
      </c>
      <c r="P38" t="n">
        <v>0</v>
      </c>
      <c r="Q38" t="n">
        <v>0</v>
      </c>
      <c r="R38" t="n">
        <v>0</v>
      </c>
      <c r="S38" t="n">
        <v>0</v>
      </c>
      <c r="T38" t="n">
        <v>0</v>
      </c>
      <c r="U38" t="n">
        <v>0</v>
      </c>
      <c r="V38" s="2" t="inlineStr"/>
    </row>
    <row r="39" ht="15" customHeight="1">
      <c r="A39" t="inlineStr">
        <is>
          <t>A 36939-2022</t>
        </is>
      </c>
      <c r="B39" t="inlineStr">
        <is>
          <t>avverkningsanmälan</t>
        </is>
      </c>
      <c r="C39" t="inlineStr">
        <is>
          <t>Avverkning för annat ändamål</t>
        </is>
      </c>
      <c r="D39" s="1" t="n">
        <v>44805</v>
      </c>
      <c r="E39" s="1" t="n">
        <v>46304</v>
      </c>
      <c r="F39" t="inlineStr">
        <is>
          <t>NORRBOTTENS LÄN</t>
        </is>
      </c>
      <c r="G39" t="inlineStr">
        <is>
          <t>KIRUNA</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46304</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46304</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13405-2026</t>
        </is>
      </c>
      <c r="B42" t="inlineStr">
        <is>
          <t>avverkningsanmälan</t>
        </is>
      </c>
      <c r="C42" t="inlineStr">
        <is>
          <t>Föryngringsavverkning</t>
        </is>
      </c>
      <c r="D42" s="1" t="n">
        <v>46094</v>
      </c>
      <c r="E42" s="1" t="n">
        <v>46304</v>
      </c>
      <c r="F42" t="inlineStr">
        <is>
          <t>NORRBOTTENS LÄN</t>
        </is>
      </c>
      <c r="G42" t="inlineStr">
        <is>
          <t>KIRUNA</t>
        </is>
      </c>
      <c r="I42" t="n">
        <v>24.5</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46304</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9605-2024</t>
        </is>
      </c>
      <c r="B44" t="inlineStr">
        <is>
          <t>avverkningsanmälan</t>
        </is>
      </c>
      <c r="C44" t="inlineStr">
        <is>
          <t>Föryngringsavverkning</t>
        </is>
      </c>
      <c r="D44" s="1" t="n">
        <v>45361</v>
      </c>
      <c r="E44" s="1" t="n">
        <v>46304</v>
      </c>
      <c r="F44" t="inlineStr">
        <is>
          <t>NORRBOTTENS LÄN</t>
        </is>
      </c>
      <c r="G44" t="inlineStr">
        <is>
          <t>KIRUNA</t>
        </is>
      </c>
      <c r="I44" t="n">
        <v>8.4</v>
      </c>
      <c r="J44" t="n">
        <v>0</v>
      </c>
      <c r="K44" t="n">
        <v>0</v>
      </c>
      <c r="L44" t="n">
        <v>0</v>
      </c>
      <c r="M44" t="n">
        <v>0</v>
      </c>
      <c r="N44" t="n">
        <v>0</v>
      </c>
      <c r="O44" t="n">
        <v>0</v>
      </c>
      <c r="P44" t="n">
        <v>0</v>
      </c>
      <c r="Q44" t="n">
        <v>0</v>
      </c>
      <c r="R44" t="n">
        <v>0</v>
      </c>
      <c r="S44" t="n">
        <v>0</v>
      </c>
      <c r="T44" t="n">
        <v>0</v>
      </c>
      <c r="U44" t="n">
        <v>0</v>
      </c>
      <c r="V44" s="2" t="inlineStr"/>
    </row>
    <row r="45" ht="15" customHeight="1">
      <c r="A45" t="inlineStr">
        <is>
          <t>A 5411-2024</t>
        </is>
      </c>
      <c r="B45" t="inlineStr">
        <is>
          <t>avverkningsanmälan</t>
        </is>
      </c>
      <c r="C45" t="inlineStr">
        <is>
          <t>Föryngringsavverkning</t>
        </is>
      </c>
      <c r="D45" s="1" t="n">
        <v>45331</v>
      </c>
      <c r="E45" s="1" t="n">
        <v>46304</v>
      </c>
      <c r="F45" t="inlineStr">
        <is>
          <t>NORRBOTTENS LÄN</t>
        </is>
      </c>
      <c r="G45" t="inlineStr">
        <is>
          <t>KIRUNA</t>
        </is>
      </c>
      <c r="I45" t="n">
        <v>3.9</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46304</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46304</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46304</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16197-2026</t>
        </is>
      </c>
      <c r="B49" t="inlineStr">
        <is>
          <t>avverkningsanmälan</t>
        </is>
      </c>
      <c r="C49" t="inlineStr">
        <is>
          <t>Avverkning för annat ändamål</t>
        </is>
      </c>
      <c r="D49" s="1" t="n">
        <v>46108</v>
      </c>
      <c r="E49" s="1" t="n">
        <v>46304</v>
      </c>
      <c r="F49" t="inlineStr">
        <is>
          <t>NORRBOTTENS LÄN</t>
        </is>
      </c>
      <c r="G49" t="inlineStr">
        <is>
          <t>KIRUNA</t>
        </is>
      </c>
      <c r="H49" t="inlineStr">
        <is>
          <t>Övriga statliga verk och myndigheter</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50338-2025</t>
        </is>
      </c>
      <c r="B50" t="inlineStr">
        <is>
          <t>avverkningsanmälan</t>
        </is>
      </c>
      <c r="C50" t="inlineStr">
        <is>
          <t>Föryngringsavverkning</t>
        </is>
      </c>
      <c r="D50" s="1" t="n">
        <v>45944</v>
      </c>
      <c r="E50" s="1" t="n">
        <v>46304</v>
      </c>
      <c r="F50" t="inlineStr">
        <is>
          <t>NORRBOTTENS LÄN</t>
        </is>
      </c>
      <c r="G50" t="inlineStr">
        <is>
          <t>KIRUNA</t>
        </is>
      </c>
      <c r="H50" t="inlineStr">
        <is>
          <t>SCA</t>
        </is>
      </c>
      <c r="I50" t="n">
        <v>22.6</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46304</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18388-2026</t>
        </is>
      </c>
      <c r="B52" t="inlineStr">
        <is>
          <t>avverkningsanmälan</t>
        </is>
      </c>
      <c r="C52" t="inlineStr">
        <is>
          <t>Föryngringsavverkning</t>
        </is>
      </c>
      <c r="D52" s="1" t="n">
        <v>46126</v>
      </c>
      <c r="E52" s="1" t="n">
        <v>46304</v>
      </c>
      <c r="F52" t="inlineStr">
        <is>
          <t>NORRBOTTENS LÄN</t>
        </is>
      </c>
      <c r="G52" t="inlineStr">
        <is>
          <t>KIRUNA</t>
        </is>
      </c>
      <c r="I52" t="n">
        <v>5.2</v>
      </c>
      <c r="J52" t="n">
        <v>0</v>
      </c>
      <c r="K52" t="n">
        <v>0</v>
      </c>
      <c r="L52" t="n">
        <v>0</v>
      </c>
      <c r="M52" t="n">
        <v>0</v>
      </c>
      <c r="N52" t="n">
        <v>0</v>
      </c>
      <c r="O52" t="n">
        <v>0</v>
      </c>
      <c r="P52" t="n">
        <v>0</v>
      </c>
      <c r="Q52" t="n">
        <v>0</v>
      </c>
      <c r="R52" t="n">
        <v>0</v>
      </c>
      <c r="S52" t="n">
        <v>0</v>
      </c>
      <c r="T52" t="n">
        <v>0</v>
      </c>
      <c r="U52" t="n">
        <v>0</v>
      </c>
      <c r="V52" s="2" t="inlineStr"/>
    </row>
    <row r="53" ht="15" customHeight="1">
      <c r="A53" t="inlineStr">
        <is>
          <t>A 20893-2025</t>
        </is>
      </c>
      <c r="B53" t="inlineStr">
        <is>
          <t>avverkningsanmälan</t>
        </is>
      </c>
      <c r="C53" t="inlineStr">
        <is>
          <t>Föryngringsavverkning</t>
        </is>
      </c>
      <c r="D53" s="1" t="n">
        <v>45776</v>
      </c>
      <c r="E53" s="1" t="n">
        <v>46304</v>
      </c>
      <c r="F53" t="inlineStr">
        <is>
          <t>NORRBOTTENS LÄN</t>
        </is>
      </c>
      <c r="G53" t="inlineStr">
        <is>
          <t>KIRUNA</t>
        </is>
      </c>
      <c r="I53" t="n">
        <v>27.3</v>
      </c>
      <c r="J53" t="n">
        <v>0</v>
      </c>
      <c r="K53" t="n">
        <v>0</v>
      </c>
      <c r="L53" t="n">
        <v>0</v>
      </c>
      <c r="M53" t="n">
        <v>0</v>
      </c>
      <c r="N53" t="n">
        <v>0</v>
      </c>
      <c r="O53" t="n">
        <v>0</v>
      </c>
      <c r="P53" t="n">
        <v>0</v>
      </c>
      <c r="Q53" t="n">
        <v>0</v>
      </c>
      <c r="R53" t="n">
        <v>0</v>
      </c>
      <c r="S53" t="n">
        <v>0</v>
      </c>
      <c r="T53" t="n">
        <v>0</v>
      </c>
      <c r="U53" t="n">
        <v>0</v>
      </c>
      <c r="V53" s="2" t="inlineStr"/>
    </row>
    <row r="54" ht="15" customHeight="1">
      <c r="A54" t="inlineStr">
        <is>
          <t>A 21184-2025</t>
        </is>
      </c>
      <c r="B54" t="inlineStr">
        <is>
          <t>avverkningsanmälan</t>
        </is>
      </c>
      <c r="C54" t="inlineStr">
        <is>
          <t>Föryngringsavverkning</t>
        </is>
      </c>
      <c r="D54" s="1" t="n">
        <v>45777</v>
      </c>
      <c r="E54" s="1" t="n">
        <v>46304</v>
      </c>
      <c r="F54" t="inlineStr">
        <is>
          <t>NORRBOTTENS LÄN</t>
        </is>
      </c>
      <c r="G54" t="inlineStr">
        <is>
          <t>KIRUNA</t>
        </is>
      </c>
      <c r="I54" t="n">
        <v>20.1</v>
      </c>
      <c r="J54" t="n">
        <v>0</v>
      </c>
      <c r="K54" t="n">
        <v>0</v>
      </c>
      <c r="L54" t="n">
        <v>0</v>
      </c>
      <c r="M54" t="n">
        <v>0</v>
      </c>
      <c r="N54" t="n">
        <v>0</v>
      </c>
      <c r="O54" t="n">
        <v>0</v>
      </c>
      <c r="P54" t="n">
        <v>0</v>
      </c>
      <c r="Q54" t="n">
        <v>0</v>
      </c>
      <c r="R54" t="n">
        <v>0</v>
      </c>
      <c r="S54" t="n">
        <v>0</v>
      </c>
      <c r="T54" t="n">
        <v>0</v>
      </c>
      <c r="U54" t="n">
        <v>0</v>
      </c>
      <c r="V54" s="2" t="inlineStr"/>
    </row>
    <row r="55" ht="15" customHeight="1">
      <c r="A55" t="inlineStr">
        <is>
          <t>A 12937-2026</t>
        </is>
      </c>
      <c r="B55" t="inlineStr">
        <is>
          <t>avverkningsanmälan</t>
        </is>
      </c>
      <c r="C55" t="inlineStr">
        <is>
          <t>Föryngringsavverkning</t>
        </is>
      </c>
      <c r="D55" s="1" t="n">
        <v>46092</v>
      </c>
      <c r="E55" s="1" t="n">
        <v>46304</v>
      </c>
      <c r="F55" t="inlineStr">
        <is>
          <t>NORRBOTTENS LÄN</t>
        </is>
      </c>
      <c r="G55" t="inlineStr">
        <is>
          <t>KIRUNA</t>
        </is>
      </c>
      <c r="I55" t="n">
        <v>37.2</v>
      </c>
      <c r="J55" t="n">
        <v>0</v>
      </c>
      <c r="K55" t="n">
        <v>0</v>
      </c>
      <c r="L55" t="n">
        <v>0</v>
      </c>
      <c r="M55" t="n">
        <v>0</v>
      </c>
      <c r="N55" t="n">
        <v>0</v>
      </c>
      <c r="O55" t="n">
        <v>0</v>
      </c>
      <c r="P55" t="n">
        <v>0</v>
      </c>
      <c r="Q55" t="n">
        <v>0</v>
      </c>
      <c r="R55" t="n">
        <v>0</v>
      </c>
      <c r="S55" t="n">
        <v>0</v>
      </c>
      <c r="T55" t="n">
        <v>0</v>
      </c>
      <c r="U55" t="n">
        <v>0</v>
      </c>
      <c r="V55" s="2" t="inlineStr"/>
    </row>
    <row r="56" ht="15" customHeight="1">
      <c r="A56" t="inlineStr">
        <is>
          <t>A 56168-2023</t>
        </is>
      </c>
      <c r="B56" t="inlineStr">
        <is>
          <t>avverkningsanmälan</t>
        </is>
      </c>
      <c r="C56" t="inlineStr">
        <is>
          <t>Avverkning för annat ändamål</t>
        </is>
      </c>
      <c r="D56" s="1" t="n">
        <v>45236</v>
      </c>
      <c r="E56" s="1" t="n">
        <v>46304</v>
      </c>
      <c r="F56" t="inlineStr">
        <is>
          <t>NORRBOTTENS LÄN</t>
        </is>
      </c>
      <c r="G56" t="inlineStr">
        <is>
          <t>KIRUNA</t>
        </is>
      </c>
      <c r="H56" t="inlineStr">
        <is>
          <t>Sveaskog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22494-2024</t>
        </is>
      </c>
      <c r="B57" t="inlineStr">
        <is>
          <t>avverkningsanmälan</t>
        </is>
      </c>
      <c r="C57" t="inlineStr">
        <is>
          <t>Föryngringsavverkning</t>
        </is>
      </c>
      <c r="D57" s="1" t="n">
        <v>45447</v>
      </c>
      <c r="E57" s="1" t="n">
        <v>46304</v>
      </c>
      <c r="F57" t="inlineStr">
        <is>
          <t>NORRBOTTENS LÄN</t>
        </is>
      </c>
      <c r="G57" t="inlineStr">
        <is>
          <t>KIRUNA</t>
        </is>
      </c>
      <c r="I57" t="n">
        <v>6</v>
      </c>
      <c r="J57" t="n">
        <v>0</v>
      </c>
      <c r="K57" t="n">
        <v>0</v>
      </c>
      <c r="L57" t="n">
        <v>0</v>
      </c>
      <c r="M57" t="n">
        <v>0</v>
      </c>
      <c r="N57" t="n">
        <v>0</v>
      </c>
      <c r="O57" t="n">
        <v>0</v>
      </c>
      <c r="P57" t="n">
        <v>0</v>
      </c>
      <c r="Q57" t="n">
        <v>0</v>
      </c>
      <c r="R57" t="n">
        <v>0</v>
      </c>
      <c r="S57" t="n">
        <v>0</v>
      </c>
      <c r="T57" t="n">
        <v>0</v>
      </c>
      <c r="U57" t="n">
        <v>0</v>
      </c>
      <c r="V57" s="2" t="inlineStr"/>
    </row>
    <row r="58" ht="15" customHeight="1">
      <c r="A58" t="inlineStr">
        <is>
          <t>A 22491-2024</t>
        </is>
      </c>
      <c r="B58" t="inlineStr">
        <is>
          <t>avverkningsanmälan</t>
        </is>
      </c>
      <c r="C58" t="inlineStr">
        <is>
          <t>Föryngringsavverkning</t>
        </is>
      </c>
      <c r="D58" s="1" t="n">
        <v>45447</v>
      </c>
      <c r="E58" s="1" t="n">
        <v>46304</v>
      </c>
      <c r="F58" t="inlineStr">
        <is>
          <t>NORRBOTTENS LÄN</t>
        </is>
      </c>
      <c r="G58" t="inlineStr">
        <is>
          <t>KIRUNA</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148-2026</t>
        </is>
      </c>
      <c r="B59" t="inlineStr">
        <is>
          <t>avverkningsanmälan</t>
        </is>
      </c>
      <c r="C59" t="inlineStr">
        <is>
          <t>Föryngringsavverkning</t>
        </is>
      </c>
      <c r="D59" s="1" t="n">
        <v>46024</v>
      </c>
      <c r="E59" s="1" t="n">
        <v>46304</v>
      </c>
      <c r="F59" t="inlineStr">
        <is>
          <t>NORRBOTTENS LÄN</t>
        </is>
      </c>
      <c r="G59" t="inlineStr">
        <is>
          <t>KIRUNA</t>
        </is>
      </c>
      <c r="I59" t="n">
        <v>10.2</v>
      </c>
      <c r="J59" t="n">
        <v>0</v>
      </c>
      <c r="K59" t="n">
        <v>0</v>
      </c>
      <c r="L59" t="n">
        <v>0</v>
      </c>
      <c r="M59" t="n">
        <v>0</v>
      </c>
      <c r="N59" t="n">
        <v>0</v>
      </c>
      <c r="O59" t="n">
        <v>0</v>
      </c>
      <c r="P59" t="n">
        <v>0</v>
      </c>
      <c r="Q59" t="n">
        <v>0</v>
      </c>
      <c r="R59" t="n">
        <v>0</v>
      </c>
      <c r="S59" t="n">
        <v>0</v>
      </c>
      <c r="T59" t="n">
        <v>0</v>
      </c>
      <c r="U59" t="n">
        <v>0</v>
      </c>
      <c r="V59" s="2" t="inlineStr"/>
    </row>
    <row r="60" ht="15" customHeight="1">
      <c r="A60" t="inlineStr">
        <is>
          <t>A 2664-2026</t>
        </is>
      </c>
      <c r="B60" t="inlineStr">
        <is>
          <t>avverkningsanmälan</t>
        </is>
      </c>
      <c r="C60" t="inlineStr">
        <is>
          <t>Föryngringsavverkning</t>
        </is>
      </c>
      <c r="D60" s="1" t="n">
        <v>46037</v>
      </c>
      <c r="E60" s="1" t="n">
        <v>46304</v>
      </c>
      <c r="F60" t="inlineStr">
        <is>
          <t>NORRBOTTENS LÄN</t>
        </is>
      </c>
      <c r="G60" t="inlineStr">
        <is>
          <t>KIRUNA</t>
        </is>
      </c>
      <c r="I60" t="n">
        <v>31.3</v>
      </c>
      <c r="J60" t="n">
        <v>0</v>
      </c>
      <c r="K60" t="n">
        <v>0</v>
      </c>
      <c r="L60" t="n">
        <v>0</v>
      </c>
      <c r="M60" t="n">
        <v>0</v>
      </c>
      <c r="N60" t="n">
        <v>0</v>
      </c>
      <c r="O60" t="n">
        <v>0</v>
      </c>
      <c r="P60" t="n">
        <v>0</v>
      </c>
      <c r="Q60" t="n">
        <v>0</v>
      </c>
      <c r="R60" t="n">
        <v>0</v>
      </c>
      <c r="S60" t="n">
        <v>0</v>
      </c>
      <c r="T60" t="n">
        <v>0</v>
      </c>
      <c r="U60" t="n">
        <v>0</v>
      </c>
      <c r="V60" s="2" t="inlineStr"/>
    </row>
    <row r="61" ht="15" customHeight="1">
      <c r="A61" t="inlineStr">
        <is>
          <t>A 47730-2024</t>
        </is>
      </c>
      <c r="B61" t="inlineStr">
        <is>
          <t>avverkningsanmälan</t>
        </is>
      </c>
      <c r="C61" t="inlineStr">
        <is>
          <t>Föryngringsavverkning</t>
        </is>
      </c>
      <c r="D61" s="1" t="n">
        <v>45588</v>
      </c>
      <c r="E61" s="1" t="n">
        <v>46304</v>
      </c>
      <c r="F61" t="inlineStr">
        <is>
          <t>NORRBOTTENS LÄN</t>
        </is>
      </c>
      <c r="G61" t="inlineStr">
        <is>
          <t>KIRUNA</t>
        </is>
      </c>
      <c r="H61" t="inlineStr">
        <is>
          <t>Allmännings- och besparingsskogar</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9069-2023</t>
        </is>
      </c>
      <c r="B62" t="inlineStr">
        <is>
          <t>avverkningsanmälan</t>
        </is>
      </c>
      <c r="C62" t="inlineStr">
        <is>
          <t>Föryngringsavverkning</t>
        </is>
      </c>
      <c r="D62" s="1" t="n">
        <v>44979</v>
      </c>
      <c r="E62" s="1" t="n">
        <v>46304</v>
      </c>
      <c r="F62" t="inlineStr">
        <is>
          <t>NORRBOTTENS LÄN</t>
        </is>
      </c>
      <c r="G62" t="inlineStr">
        <is>
          <t>KIRUNA</t>
        </is>
      </c>
      <c r="H62" t="inlineStr">
        <is>
          <t>SCA</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39006-2023</t>
        </is>
      </c>
      <c r="B63" t="inlineStr">
        <is>
          <t>avverkningsanmälan</t>
        </is>
      </c>
      <c r="C63" t="inlineStr">
        <is>
          <t>Avverkning för annat ändamål</t>
        </is>
      </c>
      <c r="D63" s="1" t="n">
        <v>45162</v>
      </c>
      <c r="E63" s="1" t="n">
        <v>46304</v>
      </c>
      <c r="F63" t="inlineStr">
        <is>
          <t>NORRBOTTENS LÄN</t>
        </is>
      </c>
      <c r="G63" t="inlineStr">
        <is>
          <t>KIRUNA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20744-2024</t>
        </is>
      </c>
      <c r="B64" t="inlineStr">
        <is>
          <t>avverkningsanmälan</t>
        </is>
      </c>
      <c r="C64" t="inlineStr">
        <is>
          <t>Föryngringsavverkning</t>
        </is>
      </c>
      <c r="D64" s="1" t="n">
        <v>45436</v>
      </c>
      <c r="E64" s="1" t="n">
        <v>46304</v>
      </c>
      <c r="F64" t="inlineStr">
        <is>
          <t>NORRBOTTENS LÄN</t>
        </is>
      </c>
      <c r="G64" t="inlineStr">
        <is>
          <t>KIRUNA</t>
        </is>
      </c>
      <c r="I64" t="n">
        <v>9.699999999999999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18737-2023</t>
        </is>
      </c>
      <c r="B65" t="inlineStr">
        <is>
          <t>avverkningsanmälan</t>
        </is>
      </c>
      <c r="C65" t="inlineStr">
        <is>
          <t>Avverkning för annat ändamål</t>
        </is>
      </c>
      <c r="D65" s="1" t="n">
        <v>45042</v>
      </c>
      <c r="E65" s="1" t="n">
        <v>46304</v>
      </c>
      <c r="F65" t="inlineStr">
        <is>
          <t>NORRBOTTENS LÄN</t>
        </is>
      </c>
      <c r="G65" t="inlineStr">
        <is>
          <t>KIRUNA</t>
        </is>
      </c>
      <c r="H65" t="inlineStr">
        <is>
          <t>Sveaskog</t>
        </is>
      </c>
      <c r="I65" t="n">
        <v>10.7</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46304</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22504-2024</t>
        </is>
      </c>
      <c r="B67" t="inlineStr">
        <is>
          <t>avverkningsanmälan</t>
        </is>
      </c>
      <c r="C67" t="inlineStr">
        <is>
          <t>Föryngringsavverkning</t>
        </is>
      </c>
      <c r="D67" s="1" t="n">
        <v>45447</v>
      </c>
      <c r="E67" s="1" t="n">
        <v>46304</v>
      </c>
      <c r="F67" t="inlineStr">
        <is>
          <t>NORRBOTTENS LÄN</t>
        </is>
      </c>
      <c r="G67" t="inlineStr">
        <is>
          <t>KIRUNA</t>
        </is>
      </c>
      <c r="I67" t="n">
        <v>15.6</v>
      </c>
      <c r="J67" t="n">
        <v>0</v>
      </c>
      <c r="K67" t="n">
        <v>0</v>
      </c>
      <c r="L67" t="n">
        <v>0</v>
      </c>
      <c r="M67" t="n">
        <v>0</v>
      </c>
      <c r="N67" t="n">
        <v>0</v>
      </c>
      <c r="O67" t="n">
        <v>0</v>
      </c>
      <c r="P67" t="n">
        <v>0</v>
      </c>
      <c r="Q67" t="n">
        <v>0</v>
      </c>
      <c r="R67" t="n">
        <v>0</v>
      </c>
      <c r="S67" t="n">
        <v>0</v>
      </c>
      <c r="T67" t="n">
        <v>0</v>
      </c>
      <c r="U67" t="n">
        <v>0</v>
      </c>
      <c r="V67" s="2" t="inlineStr"/>
    </row>
    <row r="68" ht="15" customHeight="1">
      <c r="A68" t="inlineStr">
        <is>
          <t>A 62452-2022</t>
        </is>
      </c>
      <c r="B68" t="inlineStr">
        <is>
          <t>avverkningsanmälan</t>
        </is>
      </c>
      <c r="C68" t="inlineStr">
        <is>
          <t>Föryngringsavverkning</t>
        </is>
      </c>
      <c r="D68" s="1" t="n">
        <v>44916</v>
      </c>
      <c r="E68" s="1" t="n">
        <v>46304</v>
      </c>
      <c r="F68" t="inlineStr">
        <is>
          <t>NORRBOTTENS LÄN</t>
        </is>
      </c>
      <c r="G68" t="inlineStr">
        <is>
          <t>KIRUNA</t>
        </is>
      </c>
      <c r="I68" t="n">
        <v>7.2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46304</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30594-2026</t>
        </is>
      </c>
      <c r="B70" t="inlineStr">
        <is>
          <t>avverkningsanmälan</t>
        </is>
      </c>
      <c r="C70" t="inlineStr">
        <is>
          <t>Föryngringsavverkning</t>
        </is>
      </c>
      <c r="D70" s="1" t="n">
        <v>46210</v>
      </c>
      <c r="E70" s="1" t="n">
        <v>46304</v>
      </c>
      <c r="F70" t="inlineStr">
        <is>
          <t>NORRBOTTENS LÄN</t>
        </is>
      </c>
      <c r="G70" t="inlineStr">
        <is>
          <t>KIRUNA</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30591-2026</t>
        </is>
      </c>
      <c r="B71" t="inlineStr">
        <is>
          <t>avverkningsanmälan</t>
        </is>
      </c>
      <c r="C71" t="inlineStr">
        <is>
          <t>Föryngringsavverkning</t>
        </is>
      </c>
      <c r="D71" s="1" t="n">
        <v>46210</v>
      </c>
      <c r="E71" s="1" t="n">
        <v>46304</v>
      </c>
      <c r="F71" t="inlineStr">
        <is>
          <t>NORRBOTTENS LÄN</t>
        </is>
      </c>
      <c r="G71" t="inlineStr">
        <is>
          <t>KIRUNA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30562-2026</t>
        </is>
      </c>
      <c r="B72" t="inlineStr">
        <is>
          <t>avverkningsanmälan</t>
        </is>
      </c>
      <c r="C72" t="inlineStr">
        <is>
          <t>Föryngringsavverkning</t>
        </is>
      </c>
      <c r="D72" s="1" t="n">
        <v>46210</v>
      </c>
      <c r="E72" s="1" t="n">
        <v>46304</v>
      </c>
      <c r="F72" t="inlineStr">
        <is>
          <t>NORRBOTTENS LÄN</t>
        </is>
      </c>
      <c r="G72" t="inlineStr">
        <is>
          <t>KIRUNA</t>
        </is>
      </c>
      <c r="I72" t="n">
        <v>6.8</v>
      </c>
      <c r="J72" t="n">
        <v>0</v>
      </c>
      <c r="K72" t="n">
        <v>0</v>
      </c>
      <c r="L72" t="n">
        <v>0</v>
      </c>
      <c r="M72" t="n">
        <v>0</v>
      </c>
      <c r="N72" t="n">
        <v>0</v>
      </c>
      <c r="O72" t="n">
        <v>0</v>
      </c>
      <c r="P72" t="n">
        <v>0</v>
      </c>
      <c r="Q72" t="n">
        <v>0</v>
      </c>
      <c r="R72" t="n">
        <v>0</v>
      </c>
      <c r="S72" t="n">
        <v>0</v>
      </c>
      <c r="T72" t="n">
        <v>0</v>
      </c>
      <c r="U72" t="n">
        <v>0</v>
      </c>
      <c r="V72" s="2" t="inlineStr"/>
    </row>
    <row r="73" ht="15" customHeight="1">
      <c r="A73" t="inlineStr">
        <is>
          <t>A 23469-2022</t>
        </is>
      </c>
      <c r="B73" t="inlineStr">
        <is>
          <t>avverkningsanmälan</t>
        </is>
      </c>
      <c r="C73" t="inlineStr">
        <is>
          <t>Föryngringsavverkning</t>
        </is>
      </c>
      <c r="D73" s="1" t="n">
        <v>44721</v>
      </c>
      <c r="E73" s="1" t="n">
        <v>46304</v>
      </c>
      <c r="F73" t="inlineStr">
        <is>
          <t>NORRBOTTENS LÄN</t>
        </is>
      </c>
      <c r="G73" t="inlineStr">
        <is>
          <t>KIRUNA</t>
        </is>
      </c>
      <c r="I73" t="n">
        <v>11.8</v>
      </c>
      <c r="J73" t="n">
        <v>0</v>
      </c>
      <c r="K73" t="n">
        <v>0</v>
      </c>
      <c r="L73" t="n">
        <v>0</v>
      </c>
      <c r="M73" t="n">
        <v>0</v>
      </c>
      <c r="N73" t="n">
        <v>0</v>
      </c>
      <c r="O73" t="n">
        <v>0</v>
      </c>
      <c r="P73" t="n">
        <v>0</v>
      </c>
      <c r="Q73" t="n">
        <v>0</v>
      </c>
      <c r="R73" t="n">
        <v>0</v>
      </c>
      <c r="S73" t="n">
        <v>0</v>
      </c>
      <c r="T73" t="n">
        <v>0</v>
      </c>
      <c r="U73" t="n">
        <v>0</v>
      </c>
      <c r="V73" s="2" t="inlineStr"/>
    </row>
    <row r="74" ht="15" customHeight="1">
      <c r="A74" t="inlineStr">
        <is>
          <t>A 18738-2022</t>
        </is>
      </c>
      <c r="B74" t="inlineStr">
        <is>
          <t>avverkningsanmälan</t>
        </is>
      </c>
      <c r="C74" t="inlineStr">
        <is>
          <t>Avverkning för annat ändamål</t>
        </is>
      </c>
      <c r="D74" s="1" t="n">
        <v>44687</v>
      </c>
      <c r="E74" s="1" t="n">
        <v>46304</v>
      </c>
      <c r="F74" t="inlineStr">
        <is>
          <t>NORRBOTTENS LÄN</t>
        </is>
      </c>
      <c r="G74" t="inlineStr">
        <is>
          <t>KIRUNA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5476-2024</t>
        </is>
      </c>
      <c r="B75" t="inlineStr">
        <is>
          <t>avverkningsanmälan</t>
        </is>
      </c>
      <c r="C75" t="inlineStr">
        <is>
          <t>Föryngringsavverkning</t>
        </is>
      </c>
      <c r="D75" s="1" t="n">
        <v>45333</v>
      </c>
      <c r="E75" s="1" t="n">
        <v>46304</v>
      </c>
      <c r="F75" t="inlineStr">
        <is>
          <t>NORRBOTTENS LÄN</t>
        </is>
      </c>
      <c r="G75" t="inlineStr">
        <is>
          <t>KIRUNA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34693-2022</t>
        </is>
      </c>
      <c r="B76" t="inlineStr">
        <is>
          <t>avverkningsanmälan</t>
        </is>
      </c>
      <c r="C76" t="inlineStr">
        <is>
          <t>Föryngringsavverkning</t>
        </is>
      </c>
      <c r="D76" s="1" t="n">
        <v>44795</v>
      </c>
      <c r="E76" s="1" t="n">
        <v>46304</v>
      </c>
      <c r="F76" t="inlineStr">
        <is>
          <t>NORRBOTTENS LÄN</t>
        </is>
      </c>
      <c r="G76" t="inlineStr">
        <is>
          <t>KIRUNA</t>
        </is>
      </c>
      <c r="I76" t="n">
        <v>12.3</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46304</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18721-2024</t>
        </is>
      </c>
      <c r="B78" t="inlineStr">
        <is>
          <t>avverkningsanmälan</t>
        </is>
      </c>
      <c r="C78" t="inlineStr">
        <is>
          <t>Föryngringsavverkning</t>
        </is>
      </c>
      <c r="D78" s="1" t="n">
        <v>45426</v>
      </c>
      <c r="E78" s="1" t="n">
        <v>46304</v>
      </c>
      <c r="F78" t="inlineStr">
        <is>
          <t>NORRBOTTENS LÄN</t>
        </is>
      </c>
      <c r="G78" t="inlineStr">
        <is>
          <t>KIRUNA</t>
        </is>
      </c>
      <c r="I78" t="n">
        <v>62.1</v>
      </c>
      <c r="J78" t="n">
        <v>0</v>
      </c>
      <c r="K78" t="n">
        <v>0</v>
      </c>
      <c r="L78" t="n">
        <v>0</v>
      </c>
      <c r="M78" t="n">
        <v>0</v>
      </c>
      <c r="N78" t="n">
        <v>0</v>
      </c>
      <c r="O78" t="n">
        <v>0</v>
      </c>
      <c r="P78" t="n">
        <v>0</v>
      </c>
      <c r="Q78" t="n">
        <v>0</v>
      </c>
      <c r="R78" t="n">
        <v>0</v>
      </c>
      <c r="S78" t="n">
        <v>0</v>
      </c>
      <c r="T78" t="n">
        <v>0</v>
      </c>
      <c r="U78" t="n">
        <v>0</v>
      </c>
      <c r="V78" s="2" t="inlineStr"/>
    </row>
    <row r="79" ht="15" customHeight="1">
      <c r="A79" t="inlineStr">
        <is>
          <t>A 13526-2024</t>
        </is>
      </c>
      <c r="B79" t="inlineStr">
        <is>
          <t>avverkningsanmälan</t>
        </is>
      </c>
      <c r="C79" t="inlineStr">
        <is>
          <t>Föryngringsavverkning</t>
        </is>
      </c>
      <c r="D79" s="1" t="n">
        <v>45387</v>
      </c>
      <c r="E79" s="1" t="n">
        <v>46304</v>
      </c>
      <c r="F79" t="inlineStr">
        <is>
          <t>NORRBOTTENS LÄN</t>
        </is>
      </c>
      <c r="G79" t="inlineStr">
        <is>
          <t>KIRUNA</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62439-2022</t>
        </is>
      </c>
      <c r="B80" t="inlineStr">
        <is>
          <t>avverkningsanmälan</t>
        </is>
      </c>
      <c r="C80" t="inlineStr">
        <is>
          <t>Föryngringsavverkning</t>
        </is>
      </c>
      <c r="D80" s="1" t="n">
        <v>44916</v>
      </c>
      <c r="E80" s="1" t="n">
        <v>46304</v>
      </c>
      <c r="F80" t="inlineStr">
        <is>
          <t>NORRBOTTENS LÄN</t>
        </is>
      </c>
      <c r="G80" t="inlineStr">
        <is>
          <t>KIRUNA</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35765-2026</t>
        </is>
      </c>
      <c r="B81" t="inlineStr">
        <is>
          <t>avverkningsanmälan</t>
        </is>
      </c>
      <c r="C81" t="inlineStr">
        <is>
          <t>Föryngringsavverkning</t>
        </is>
      </c>
      <c r="D81" s="1" t="n">
        <v>46265</v>
      </c>
      <c r="E81" s="1" t="n">
        <v>46304</v>
      </c>
      <c r="F81" t="inlineStr">
        <is>
          <t>NORRBOTTENS LÄN</t>
        </is>
      </c>
      <c r="G81" t="inlineStr">
        <is>
          <t>KIRUNA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21268-2026</t>
        </is>
      </c>
      <c r="B82" t="inlineStr">
        <is>
          <t>avverkningsanmälan</t>
        </is>
      </c>
      <c r="C82" t="inlineStr">
        <is>
          <t>Föryngringsavverkning</t>
        </is>
      </c>
      <c r="D82" s="1" t="n">
        <v>46147</v>
      </c>
      <c r="E82" s="1" t="n">
        <v>46304</v>
      </c>
      <c r="F82" t="inlineStr">
        <is>
          <t>NORRBOTTENS LÄN</t>
        </is>
      </c>
      <c r="G82" t="inlineStr">
        <is>
          <t>KIRUNA</t>
        </is>
      </c>
      <c r="I82" t="n">
        <v>35.7</v>
      </c>
      <c r="J82" t="n">
        <v>0</v>
      </c>
      <c r="K82" t="n">
        <v>0</v>
      </c>
      <c r="L82" t="n">
        <v>0</v>
      </c>
      <c r="M82" t="n">
        <v>0</v>
      </c>
      <c r="N82" t="n">
        <v>0</v>
      </c>
      <c r="O82" t="n">
        <v>0</v>
      </c>
      <c r="P82" t="n">
        <v>0</v>
      </c>
      <c r="Q82" t="n">
        <v>0</v>
      </c>
      <c r="R82" t="n">
        <v>0</v>
      </c>
      <c r="S82" t="n">
        <v>0</v>
      </c>
      <c r="T82" t="n">
        <v>0</v>
      </c>
      <c r="U82" t="n">
        <v>0</v>
      </c>
      <c r="V82" s="2" t="inlineStr"/>
    </row>
    <row r="83" ht="15" customHeight="1">
      <c r="A83" t="inlineStr">
        <is>
          <t>A 39321-2026</t>
        </is>
      </c>
      <c r="B83" t="inlineStr">
        <is>
          <t>avverkningsanmälan</t>
        </is>
      </c>
      <c r="C83" t="inlineStr">
        <is>
          <t>Föryngringsavverkning</t>
        </is>
      </c>
      <c r="D83" s="1" t="n">
        <v>46288</v>
      </c>
      <c r="E83" s="1" t="n">
        <v>46304</v>
      </c>
      <c r="F83" t="inlineStr">
        <is>
          <t>NORRBOTTENS LÄN</t>
        </is>
      </c>
      <c r="G83" t="inlineStr">
        <is>
          <t>KIRUNA</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50590-2023</t>
        </is>
      </c>
      <c r="B84" t="inlineStr">
        <is>
          <t>avverkningsanmälan</t>
        </is>
      </c>
      <c r="C84" t="inlineStr">
        <is>
          <t>Föryngringsavverkning</t>
        </is>
      </c>
      <c r="D84" s="1" t="n">
        <v>45217</v>
      </c>
      <c r="E84" s="1" t="n">
        <v>46304</v>
      </c>
      <c r="F84" t="inlineStr">
        <is>
          <t>NORRBOTTENS LÄN</t>
        </is>
      </c>
      <c r="G84" t="inlineStr">
        <is>
          <t>KIRUNA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40136-2026</t>
        </is>
      </c>
      <c r="B85" t="inlineStr">
        <is>
          <t>avverkningsanmälan</t>
        </is>
      </c>
      <c r="C85" t="inlineStr">
        <is>
          <t>Föryngringsavverkning</t>
        </is>
      </c>
      <c r="D85" s="1" t="n">
        <v>46293</v>
      </c>
      <c r="E85" s="1" t="n">
        <v>46304</v>
      </c>
      <c r="F85" t="inlineStr">
        <is>
          <t>NORRBOTTENS LÄN</t>
        </is>
      </c>
      <c r="G85" t="inlineStr">
        <is>
          <t>KIRUNA</t>
        </is>
      </c>
      <c r="I85" t="n">
        <v>9.5</v>
      </c>
      <c r="J85" t="n">
        <v>0</v>
      </c>
      <c r="K85" t="n">
        <v>0</v>
      </c>
      <c r="L85" t="n">
        <v>0</v>
      </c>
      <c r="M85" t="n">
        <v>0</v>
      </c>
      <c r="N85" t="n">
        <v>0</v>
      </c>
      <c r="O85" t="n">
        <v>0</v>
      </c>
      <c r="P85" t="n">
        <v>0</v>
      </c>
      <c r="Q85" t="n">
        <v>0</v>
      </c>
      <c r="R85" t="n">
        <v>0</v>
      </c>
      <c r="S85" t="n">
        <v>0</v>
      </c>
      <c r="T85" t="n">
        <v>0</v>
      </c>
      <c r="U85" t="n">
        <v>0</v>
      </c>
      <c r="V85" s="2" t="inlineStr"/>
    </row>
    <row r="86" ht="15" customHeight="1">
      <c r="A86" t="inlineStr">
        <is>
          <t>A 37993-2026</t>
        </is>
      </c>
      <c r="B86" t="inlineStr">
        <is>
          <t>avverkningsanmälan</t>
        </is>
      </c>
      <c r="C86" t="inlineStr">
        <is>
          <t>Föryngringsavverkning</t>
        </is>
      </c>
      <c r="D86" s="1" t="n">
        <v>46280</v>
      </c>
      <c r="E86" s="1" t="n">
        <v>46304</v>
      </c>
      <c r="F86" t="inlineStr">
        <is>
          <t>NORRBOTTENS LÄN</t>
        </is>
      </c>
      <c r="G86" t="inlineStr">
        <is>
          <t>KIRUNA</t>
        </is>
      </c>
      <c r="I86" t="n">
        <v>54.2</v>
      </c>
      <c r="J86" t="n">
        <v>0</v>
      </c>
      <c r="K86" t="n">
        <v>0</v>
      </c>
      <c r="L86" t="n">
        <v>0</v>
      </c>
      <c r="M86" t="n">
        <v>0</v>
      </c>
      <c r="N86" t="n">
        <v>0</v>
      </c>
      <c r="O86" t="n">
        <v>0</v>
      </c>
      <c r="P86" t="n">
        <v>0</v>
      </c>
      <c r="Q86" t="n">
        <v>0</v>
      </c>
      <c r="R86" t="n">
        <v>0</v>
      </c>
      <c r="S86" t="n">
        <v>0</v>
      </c>
      <c r="T86" t="n">
        <v>0</v>
      </c>
      <c r="U86" t="n">
        <v>0</v>
      </c>
      <c r="V86" s="2" t="inlineStr"/>
    </row>
    <row r="87" ht="15" customHeight="1">
      <c r="A87" t="inlineStr">
        <is>
          <t>A 39064-2026</t>
        </is>
      </c>
      <c r="B87" t="inlineStr">
        <is>
          <t>avverkningsanmälan</t>
        </is>
      </c>
      <c r="C87" t="inlineStr">
        <is>
          <t>Föryngringsavverkning</t>
        </is>
      </c>
      <c r="D87" s="1" t="n">
        <v>46287</v>
      </c>
      <c r="E87" s="1" t="n">
        <v>46304</v>
      </c>
      <c r="F87" t="inlineStr">
        <is>
          <t>NORRBOTTENS LÄN</t>
        </is>
      </c>
      <c r="G87" t="inlineStr">
        <is>
          <t>KIRUNA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12969-2026</t>
        </is>
      </c>
      <c r="B88" t="inlineStr">
        <is>
          <t>avverkningsanmälan</t>
        </is>
      </c>
      <c r="C88" t="inlineStr">
        <is>
          <t>Föryngringsavverkning</t>
        </is>
      </c>
      <c r="D88" s="1" t="n">
        <v>46092</v>
      </c>
      <c r="E88" s="1" t="n">
        <v>46304</v>
      </c>
      <c r="F88" t="inlineStr">
        <is>
          <t>NORRBOTTENS LÄN</t>
        </is>
      </c>
      <c r="G88" t="inlineStr">
        <is>
          <t>KIRUNA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49704-2024</t>
        </is>
      </c>
      <c r="B89" t="inlineStr">
        <is>
          <t>avverkningsanmälan</t>
        </is>
      </c>
      <c r="C89" t="inlineStr">
        <is>
          <t>Föryngringsavverkning</t>
        </is>
      </c>
      <c r="D89" s="1" t="n">
        <v>45596</v>
      </c>
      <c r="E89" s="1" t="n">
        <v>46304</v>
      </c>
      <c r="F89" t="inlineStr">
        <is>
          <t>NORRBOTTENS LÄN</t>
        </is>
      </c>
      <c r="G89" t="inlineStr">
        <is>
          <t>KIRUNA</t>
        </is>
      </c>
      <c r="I89" t="n">
        <v>17.4</v>
      </c>
      <c r="J89" t="n">
        <v>0</v>
      </c>
      <c r="K89" t="n">
        <v>0</v>
      </c>
      <c r="L89" t="n">
        <v>0</v>
      </c>
      <c r="M89" t="n">
        <v>0</v>
      </c>
      <c r="N89" t="n">
        <v>0</v>
      </c>
      <c r="O89" t="n">
        <v>0</v>
      </c>
      <c r="P89" t="n">
        <v>0</v>
      </c>
      <c r="Q89" t="n">
        <v>0</v>
      </c>
      <c r="R89" t="n">
        <v>0</v>
      </c>
      <c r="S89" t="n">
        <v>0</v>
      </c>
      <c r="T89" t="n">
        <v>0</v>
      </c>
      <c r="U89" t="n">
        <v>0</v>
      </c>
      <c r="V89" s="2" t="inlineStr"/>
    </row>
    <row r="90" ht="15" customHeight="1">
      <c r="A90" t="inlineStr">
        <is>
          <t>A 41451-2026</t>
        </is>
      </c>
      <c r="B90" t="inlineStr">
        <is>
          <t>avverkningsanmälan</t>
        </is>
      </c>
      <c r="C90" t="inlineStr">
        <is>
          <t>Föryngringsavverkning</t>
        </is>
      </c>
      <c r="D90" s="1" t="n">
        <v>46301</v>
      </c>
      <c r="E90" s="1" t="n">
        <v>46304</v>
      </c>
      <c r="F90" t="inlineStr">
        <is>
          <t>NORRBOTTENS LÄN</t>
        </is>
      </c>
      <c r="G90" t="inlineStr">
        <is>
          <t>KIRUNA</t>
        </is>
      </c>
      <c r="I90" t="n">
        <v>28.1</v>
      </c>
      <c r="J90" t="n">
        <v>0</v>
      </c>
      <c r="K90" t="n">
        <v>0</v>
      </c>
      <c r="L90" t="n">
        <v>0</v>
      </c>
      <c r="M90" t="n">
        <v>0</v>
      </c>
      <c r="N90" t="n">
        <v>0</v>
      </c>
      <c r="O90" t="n">
        <v>0</v>
      </c>
      <c r="P90" t="n">
        <v>0</v>
      </c>
      <c r="Q90" t="n">
        <v>0</v>
      </c>
      <c r="R90" t="n">
        <v>0</v>
      </c>
      <c r="S90" t="n">
        <v>0</v>
      </c>
      <c r="T90" t="n">
        <v>0</v>
      </c>
      <c r="U90" t="n">
        <v>0</v>
      </c>
      <c r="V90" s="2" t="inlineStr"/>
    </row>
    <row r="91">
      <c r="A91" t="inlineStr">
        <is>
          <t>S 637-2025</t>
        </is>
      </c>
      <c r="B91" t="inlineStr">
        <is>
          <t>samrådsanmälan</t>
        </is>
      </c>
      <c r="C91" t="inlineStr">
        <is>
          <t>Annan skogsbruksåtgärd</t>
        </is>
      </c>
      <c r="D91" s="1" t="n">
        <v>45714</v>
      </c>
      <c r="E91" s="1" t="n">
        <v>46304</v>
      </c>
      <c r="F91" t="inlineStr">
        <is>
          <t>NORRBOTTENS LÄN</t>
        </is>
      </c>
      <c r="G91" t="inlineStr">
        <is>
          <t>KIRUNA</t>
        </is>
      </c>
      <c r="I91" t="n">
        <v>49.3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2026-10-09T02:04:33Z</dcterms:created>
  <dcterms:modified xmlns:dcterms="http://purl.org/dc/terms/" xmlns:xsi="http://www.w3.org/2001/XMLSchema-instance" xsi:type="dcterms:W3CDTF">2026-10-09T02:04:33Z</dcterms:modified>
</cp:coreProperties>
</file>