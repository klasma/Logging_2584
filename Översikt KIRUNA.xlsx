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46241</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46241</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46241</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46241</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46241</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46241</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46241</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46241</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46241</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46241</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46241</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46241</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46241</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46241</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46241</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46241</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46241</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t="n">
        <v>0</v>
      </c>
      <c r="V19" s="2" t="inlineStr">
        <is>
          <t>Fjällsotlav</t>
        </is>
      </c>
      <c r="W19">
        <f>HYPERLINK("https://klasma.github.io/Logging_2584/artfynd/A 5842-2023 artfynd.xlsx", "A 5842-2023")</f>
        <v/>
      </c>
      <c r="X19">
        <f>HYPERLINK("https://klasma.github.io/Logging_2584/kartor/A 5842-2023 karta.png", "A 5842-2023")</f>
        <v/>
      </c>
      <c r="Y19">
        <f>HYPERLINK("https://klasma.github.io/Logging_2584/kartor_geotiff/A 5842-2023 georefererad karta.tif", "A 5842-2023")</f>
        <v/>
      </c>
      <c r="AA19">
        <f>HYPERLINK("https://klasma.github.io/Logging_2584/klagomål/A 5842-2023 FSC-klagomål.docx", "A 5842-2023")</f>
        <v/>
      </c>
      <c r="AB19">
        <f>HYPERLINK("https://klasma.github.io/Logging_2584/klagomålsmail/A 5842-2023 FSC-klagomål mail.docx", "A 5842-2023")</f>
        <v/>
      </c>
      <c r="AC19">
        <f>HYPERLINK("https://klasma.github.io/Logging_2584/tillsyn/A 5842-2023 tillsynsbegäran.docx", "A 5842-2023")</f>
        <v/>
      </c>
      <c r="AD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46241</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t="n">
        <v>1</v>
      </c>
      <c r="V20" s="2" t="inlineStr">
        <is>
          <t>Tallticka</t>
        </is>
      </c>
      <c r="W20">
        <f>HYPERLINK("https://klasma.github.io/Logging_2584/artfynd/A 4367-2024 artfynd.xlsx", "A 4367-2024")</f>
        <v/>
      </c>
      <c r="X20">
        <f>HYPERLINK("https://klasma.github.io/Logging_2584/kartor/A 4367-2024 karta.png", "A 4367-2024")</f>
        <v/>
      </c>
      <c r="Y20">
        <f>HYPERLINK("https://klasma.github.io/Logging_2584/kartor_geotiff/A 4367-2024 georefererad karta.tif", "A 4367-2024")</f>
        <v/>
      </c>
      <c r="AA20">
        <f>HYPERLINK("https://klasma.github.io/Logging_2584/klagomål/A 4367-2024 FSC-klagomål.docx", "A 4367-2024")</f>
        <v/>
      </c>
      <c r="AB20">
        <f>HYPERLINK("https://klasma.github.io/Logging_2584/klagomålsmail/A 4367-2024 FSC-klagomål mail.docx", "A 4367-2024")</f>
        <v/>
      </c>
      <c r="AC20">
        <f>HYPERLINK("https://klasma.github.io/Logging_2584/tillsyn/A 4367-2024 tillsynsbegäran.docx", "A 4367-2024")</f>
        <v/>
      </c>
      <c r="AD20">
        <f>HYPERLINK("https://klasma.github.io/Logging_2584/tillsynsmail/A 4367-2024 tillsynsbegäran mail.docx", "A 4367-2024")</f>
        <v/>
      </c>
    </row>
    <row r="21" ht="15" customHeight="1">
      <c r="A21" t="inlineStr">
        <is>
          <t>A 16024-2024</t>
        </is>
      </c>
      <c r="B21" t="inlineStr">
        <is>
          <t>avverkningsanmälan</t>
        </is>
      </c>
      <c r="C21" t="inlineStr">
        <is>
          <t>Föryngringsavverkning</t>
        </is>
      </c>
      <c r="D21" s="1" t="n">
        <v>45405</v>
      </c>
      <c r="E21" s="1" t="n">
        <v>46241</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t="n">
        <v>1</v>
      </c>
      <c r="V21" s="2" t="inlineStr">
        <is>
          <t>Vedskivlav</t>
        </is>
      </c>
      <c r="W21">
        <f>HYPERLINK("https://klasma.github.io/Logging_2584/artfynd/A 16024-2024 artfynd.xlsx", "A 16024-2024")</f>
        <v/>
      </c>
      <c r="X21">
        <f>HYPERLINK("https://klasma.github.io/Logging_2584/kartor/A 16024-2024 karta.png", "A 16024-2024")</f>
        <v/>
      </c>
      <c r="Y21">
        <f>HYPERLINK("https://klasma.github.io/Logging_2584/kartor_geotiff/A 16024-2024 georefererad karta.tif", "A 16024-2024")</f>
        <v/>
      </c>
      <c r="AA21">
        <f>HYPERLINK("https://klasma.github.io/Logging_2584/klagomål/A 16024-2024 FSC-klagomål.docx", "A 16024-2024")</f>
        <v/>
      </c>
      <c r="AB21">
        <f>HYPERLINK("https://klasma.github.io/Logging_2584/klagomålsmail/A 16024-2024 FSC-klagomål mail.docx", "A 16024-2024")</f>
        <v/>
      </c>
      <c r="AC21">
        <f>HYPERLINK("https://klasma.github.io/Logging_2584/tillsyn/A 16024-2024 tillsynsbegäran.docx", "A 16024-2024")</f>
        <v/>
      </c>
      <c r="AD21">
        <f>HYPERLINK("https://klasma.github.io/Logging_2584/tillsynsmail/A 16024-2024 tillsynsbegäran mail.docx", "A 16024-2024")</f>
        <v/>
      </c>
    </row>
    <row r="22" ht="15" customHeight="1">
      <c r="A22" t="inlineStr">
        <is>
          <t>A 2660-2026</t>
        </is>
      </c>
      <c r="B22" t="inlineStr">
        <is>
          <t>avverkningsanmälan</t>
        </is>
      </c>
      <c r="C22" t="inlineStr">
        <is>
          <t>Föryngringsavverkning</t>
        </is>
      </c>
      <c r="D22" s="1" t="n">
        <v>46037</v>
      </c>
      <c r="E22" s="1" t="n">
        <v>46241</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61066-2024</t>
        </is>
      </c>
      <c r="B23" t="inlineStr">
        <is>
          <t>avverkningsanmälan</t>
        </is>
      </c>
      <c r="C23" t="inlineStr">
        <is>
          <t>Föryngringsavverkning</t>
        </is>
      </c>
      <c r="D23" s="1" t="n">
        <v>45645</v>
      </c>
      <c r="E23" s="1" t="n">
        <v>46241</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46241</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46241</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46241</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46241</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46241</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9605-2024</t>
        </is>
      </c>
      <c r="B29" t="inlineStr">
        <is>
          <t>avverkningsanmälan</t>
        </is>
      </c>
      <c r="C29" t="inlineStr">
        <is>
          <t>Föryngringsavverkning</t>
        </is>
      </c>
      <c r="D29" s="1" t="n">
        <v>45361</v>
      </c>
      <c r="E29" s="1" t="n">
        <v>46241</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t="n">
        <v>0</v>
      </c>
      <c r="V29" s="2" t="inlineStr"/>
    </row>
    <row r="30" ht="15" customHeight="1">
      <c r="A30" t="inlineStr">
        <is>
          <t>A 5411-2024</t>
        </is>
      </c>
      <c r="B30" t="inlineStr">
        <is>
          <t>avverkningsanmälan</t>
        </is>
      </c>
      <c r="C30" t="inlineStr">
        <is>
          <t>Föryngringsavverkning</t>
        </is>
      </c>
      <c r="D30" s="1" t="n">
        <v>45331</v>
      </c>
      <c r="E30" s="1" t="n">
        <v>46241</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22494-2024</t>
        </is>
      </c>
      <c r="B31" t="inlineStr">
        <is>
          <t>avverkningsanmälan</t>
        </is>
      </c>
      <c r="C31" t="inlineStr">
        <is>
          <t>Föryngringsavverkning</t>
        </is>
      </c>
      <c r="D31" s="1" t="n">
        <v>45447</v>
      </c>
      <c r="E31" s="1" t="n">
        <v>46241</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9069-2023</t>
        </is>
      </c>
      <c r="B32" t="inlineStr">
        <is>
          <t>avverkningsanmälan</t>
        </is>
      </c>
      <c r="C32" t="inlineStr">
        <is>
          <t>Föryngringsavverkning</t>
        </is>
      </c>
      <c r="D32" s="1" t="n">
        <v>44979</v>
      </c>
      <c r="E32" s="1" t="n">
        <v>46241</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62439-2022</t>
        </is>
      </c>
      <c r="B33" t="inlineStr">
        <is>
          <t>avverkningsanmälan</t>
        </is>
      </c>
      <c r="C33" t="inlineStr">
        <is>
          <t>Föryngringsavverkning</t>
        </is>
      </c>
      <c r="D33" s="1" t="n">
        <v>44916</v>
      </c>
      <c r="E33" s="1" t="n">
        <v>46241</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5476-2024</t>
        </is>
      </c>
      <c r="B34" t="inlineStr">
        <is>
          <t>avverkningsanmälan</t>
        </is>
      </c>
      <c r="C34" t="inlineStr">
        <is>
          <t>Föryngringsavverkning</t>
        </is>
      </c>
      <c r="D34" s="1" t="n">
        <v>45333</v>
      </c>
      <c r="E34" s="1" t="n">
        <v>46241</v>
      </c>
      <c r="F34" t="inlineStr">
        <is>
          <t>NORRBOTTENS LÄN</t>
        </is>
      </c>
      <c r="G34" t="inlineStr">
        <is>
          <t>KIRUNA</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22504-2024</t>
        </is>
      </c>
      <c r="B35" t="inlineStr">
        <is>
          <t>avverkningsanmälan</t>
        </is>
      </c>
      <c r="C35" t="inlineStr">
        <is>
          <t>Föryngringsavverkning</t>
        </is>
      </c>
      <c r="D35" s="1" t="n">
        <v>45447</v>
      </c>
      <c r="E35" s="1" t="n">
        <v>46241</v>
      </c>
      <c r="F35" t="inlineStr">
        <is>
          <t>NORRBOTTENS LÄN</t>
        </is>
      </c>
      <c r="G35" t="inlineStr">
        <is>
          <t>KIRUNA</t>
        </is>
      </c>
      <c r="I35" t="n">
        <v>15.6</v>
      </c>
      <c r="J35" t="n">
        <v>0</v>
      </c>
      <c r="K35" t="n">
        <v>0</v>
      </c>
      <c r="L35" t="n">
        <v>0</v>
      </c>
      <c r="M35" t="n">
        <v>0</v>
      </c>
      <c r="N35" t="n">
        <v>0</v>
      </c>
      <c r="O35" t="n">
        <v>0</v>
      </c>
      <c r="P35" t="n">
        <v>0</v>
      </c>
      <c r="Q35" t="n">
        <v>0</v>
      </c>
      <c r="R35" t="n">
        <v>0</v>
      </c>
      <c r="S35" t="n">
        <v>0</v>
      </c>
      <c r="T35" t="n">
        <v>0</v>
      </c>
      <c r="U35" t="n">
        <v>0</v>
      </c>
      <c r="V35" s="2" t="inlineStr"/>
    </row>
    <row r="36" ht="15" customHeight="1">
      <c r="A36" t="inlineStr">
        <is>
          <t>A 16197-2026</t>
        </is>
      </c>
      <c r="B36" t="inlineStr">
        <is>
          <t>avverkningsanmälan</t>
        </is>
      </c>
      <c r="C36" t="inlineStr">
        <is>
          <t>Avverkning för annat ändamål</t>
        </is>
      </c>
      <c r="D36" s="1" t="n">
        <v>46108</v>
      </c>
      <c r="E36" s="1" t="n">
        <v>46241</v>
      </c>
      <c r="F36" t="inlineStr">
        <is>
          <t>NORRBOTTENS LÄN</t>
        </is>
      </c>
      <c r="G36" t="inlineStr">
        <is>
          <t>KIRUNA</t>
        </is>
      </c>
      <c r="H36" t="inlineStr">
        <is>
          <t>Övriga statliga verk och myndigheter</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18721-2024</t>
        </is>
      </c>
      <c r="B37" t="inlineStr">
        <is>
          <t>avverkningsanmälan</t>
        </is>
      </c>
      <c r="C37" t="inlineStr">
        <is>
          <t>Föryngringsavverkning</t>
        </is>
      </c>
      <c r="D37" s="1" t="n">
        <v>45426</v>
      </c>
      <c r="E37" s="1" t="n">
        <v>46241</v>
      </c>
      <c r="F37" t="inlineStr">
        <is>
          <t>NORRBOTTENS LÄN</t>
        </is>
      </c>
      <c r="G37" t="inlineStr">
        <is>
          <t>KIRUNA</t>
        </is>
      </c>
      <c r="I37" t="n">
        <v>62.1</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46241</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18388-2026</t>
        </is>
      </c>
      <c r="B39" t="inlineStr">
        <is>
          <t>avverkningsanmälan</t>
        </is>
      </c>
      <c r="C39" t="inlineStr">
        <is>
          <t>Föryngringsavverkning</t>
        </is>
      </c>
      <c r="D39" s="1" t="n">
        <v>46126</v>
      </c>
      <c r="E39" s="1" t="n">
        <v>46241</v>
      </c>
      <c r="F39" t="inlineStr">
        <is>
          <t>NORRBOTTENS LÄN</t>
        </is>
      </c>
      <c r="G39" t="inlineStr">
        <is>
          <t>KIRUNA</t>
        </is>
      </c>
      <c r="I39" t="n">
        <v>5.2</v>
      </c>
      <c r="J39" t="n">
        <v>0</v>
      </c>
      <c r="K39" t="n">
        <v>0</v>
      </c>
      <c r="L39" t="n">
        <v>0</v>
      </c>
      <c r="M39" t="n">
        <v>0</v>
      </c>
      <c r="N39" t="n">
        <v>0</v>
      </c>
      <c r="O39" t="n">
        <v>0</v>
      </c>
      <c r="P39" t="n">
        <v>0</v>
      </c>
      <c r="Q39" t="n">
        <v>0</v>
      </c>
      <c r="R39" t="n">
        <v>0</v>
      </c>
      <c r="S39" t="n">
        <v>0</v>
      </c>
      <c r="T39" t="n">
        <v>0</v>
      </c>
      <c r="U39" t="n">
        <v>0</v>
      </c>
      <c r="V39" s="2" t="inlineStr"/>
    </row>
    <row r="40" ht="15" customHeight="1">
      <c r="A40" t="inlineStr">
        <is>
          <t>A 12937-2026</t>
        </is>
      </c>
      <c r="B40" t="inlineStr">
        <is>
          <t>avverkningsanmälan</t>
        </is>
      </c>
      <c r="C40" t="inlineStr">
        <is>
          <t>Föryngringsavverkning</t>
        </is>
      </c>
      <c r="D40" s="1" t="n">
        <v>46092</v>
      </c>
      <c r="E40" s="1" t="n">
        <v>46241</v>
      </c>
      <c r="F40" t="inlineStr">
        <is>
          <t>NORRBOTTENS LÄN</t>
        </is>
      </c>
      <c r="G40" t="inlineStr">
        <is>
          <t>KIRUNA</t>
        </is>
      </c>
      <c r="I40" t="n">
        <v>37.2</v>
      </c>
      <c r="J40" t="n">
        <v>0</v>
      </c>
      <c r="K40" t="n">
        <v>0</v>
      </c>
      <c r="L40" t="n">
        <v>0</v>
      </c>
      <c r="M40" t="n">
        <v>0</v>
      </c>
      <c r="N40" t="n">
        <v>0</v>
      </c>
      <c r="O40" t="n">
        <v>0</v>
      </c>
      <c r="P40" t="n">
        <v>0</v>
      </c>
      <c r="Q40" t="n">
        <v>0</v>
      </c>
      <c r="R40" t="n">
        <v>0</v>
      </c>
      <c r="S40" t="n">
        <v>0</v>
      </c>
      <c r="T40" t="n">
        <v>0</v>
      </c>
      <c r="U40" t="n">
        <v>0</v>
      </c>
      <c r="V40" s="2" t="inlineStr"/>
    </row>
    <row r="41" ht="15" customHeight="1">
      <c r="A41" t="inlineStr">
        <is>
          <t>A 12984-2026</t>
        </is>
      </c>
      <c r="B41" t="inlineStr">
        <is>
          <t>avverkningsanmälan</t>
        </is>
      </c>
      <c r="C41" t="inlineStr">
        <is>
          <t>Föryngringsavverkning</t>
        </is>
      </c>
      <c r="D41" s="1" t="n">
        <v>46092</v>
      </c>
      <c r="E41" s="1" t="n">
        <v>46241</v>
      </c>
      <c r="F41" t="inlineStr">
        <is>
          <t>NORRBOTTENS LÄN</t>
        </is>
      </c>
      <c r="G41" t="inlineStr">
        <is>
          <t>KIRUNA</t>
        </is>
      </c>
      <c r="I41" t="n">
        <v>18.2</v>
      </c>
      <c r="J41" t="n">
        <v>0</v>
      </c>
      <c r="K41" t="n">
        <v>0</v>
      </c>
      <c r="L41" t="n">
        <v>0</v>
      </c>
      <c r="M41" t="n">
        <v>0</v>
      </c>
      <c r="N41" t="n">
        <v>0</v>
      </c>
      <c r="O41" t="n">
        <v>0</v>
      </c>
      <c r="P41" t="n">
        <v>0</v>
      </c>
      <c r="Q41" t="n">
        <v>0</v>
      </c>
      <c r="R41" t="n">
        <v>0</v>
      </c>
      <c r="S41" t="n">
        <v>0</v>
      </c>
      <c r="T41" t="n">
        <v>0</v>
      </c>
      <c r="U41" t="n">
        <v>0</v>
      </c>
      <c r="V41" s="2" t="inlineStr"/>
    </row>
    <row r="42" ht="15" customHeight="1">
      <c r="A42" t="inlineStr">
        <is>
          <t>A 23469-2022</t>
        </is>
      </c>
      <c r="B42" t="inlineStr">
        <is>
          <t>avverkningsanmälan</t>
        </is>
      </c>
      <c r="C42" t="inlineStr">
        <is>
          <t>Föryngringsavverkning</t>
        </is>
      </c>
      <c r="D42" s="1" t="n">
        <v>44721</v>
      </c>
      <c r="E42" s="1" t="n">
        <v>46241</v>
      </c>
      <c r="F42" t="inlineStr">
        <is>
          <t>NORRBOTTENS LÄN</t>
        </is>
      </c>
      <c r="G42" t="inlineStr">
        <is>
          <t>KIRUNA</t>
        </is>
      </c>
      <c r="I42" t="n">
        <v>11.8</v>
      </c>
      <c r="J42" t="n">
        <v>0</v>
      </c>
      <c r="K42" t="n">
        <v>0</v>
      </c>
      <c r="L42" t="n">
        <v>0</v>
      </c>
      <c r="M42" t="n">
        <v>0</v>
      </c>
      <c r="N42" t="n">
        <v>0</v>
      </c>
      <c r="O42" t="n">
        <v>0</v>
      </c>
      <c r="P42" t="n">
        <v>0</v>
      </c>
      <c r="Q42" t="n">
        <v>0</v>
      </c>
      <c r="R42" t="n">
        <v>0</v>
      </c>
      <c r="S42" t="n">
        <v>0</v>
      </c>
      <c r="T42" t="n">
        <v>0</v>
      </c>
      <c r="U42" t="n">
        <v>0</v>
      </c>
      <c r="V42" s="2" t="inlineStr"/>
    </row>
    <row r="43" ht="15" customHeight="1">
      <c r="A43" t="inlineStr">
        <is>
          <t>A 12969-2026</t>
        </is>
      </c>
      <c r="B43" t="inlineStr">
        <is>
          <t>avverkningsanmälan</t>
        </is>
      </c>
      <c r="C43" t="inlineStr">
        <is>
          <t>Föryngringsavverkning</t>
        </is>
      </c>
      <c r="D43" s="1" t="n">
        <v>46092</v>
      </c>
      <c r="E43" s="1" t="n">
        <v>46241</v>
      </c>
      <c r="F43" t="inlineStr">
        <is>
          <t>NORRBOTTENS LÄN</t>
        </is>
      </c>
      <c r="G43" t="inlineStr">
        <is>
          <t>KIRUNA</t>
        </is>
      </c>
      <c r="I43" t="n">
        <v>5</v>
      </c>
      <c r="J43" t="n">
        <v>0</v>
      </c>
      <c r="K43" t="n">
        <v>0</v>
      </c>
      <c r="L43" t="n">
        <v>0</v>
      </c>
      <c r="M43" t="n">
        <v>0</v>
      </c>
      <c r="N43" t="n">
        <v>0</v>
      </c>
      <c r="O43" t="n">
        <v>0</v>
      </c>
      <c r="P43" t="n">
        <v>0</v>
      </c>
      <c r="Q43" t="n">
        <v>0</v>
      </c>
      <c r="R43" t="n">
        <v>0</v>
      </c>
      <c r="S43" t="n">
        <v>0</v>
      </c>
      <c r="T43" t="n">
        <v>0</v>
      </c>
      <c r="U43" t="n">
        <v>0</v>
      </c>
      <c r="V43" s="2" t="inlineStr"/>
    </row>
    <row r="44" ht="15" customHeight="1">
      <c r="A44" t="inlineStr">
        <is>
          <t>A 62452-2022</t>
        </is>
      </c>
      <c r="B44" t="inlineStr">
        <is>
          <t>avverkningsanmälan</t>
        </is>
      </c>
      <c r="C44" t="inlineStr">
        <is>
          <t>Föryngringsavverkning</t>
        </is>
      </c>
      <c r="D44" s="1" t="n">
        <v>44916</v>
      </c>
      <c r="E44" s="1" t="n">
        <v>46241</v>
      </c>
      <c r="F44" t="inlineStr">
        <is>
          <t>NORRBOTTENS LÄN</t>
        </is>
      </c>
      <c r="G44" t="inlineStr">
        <is>
          <t>KIRUNA</t>
        </is>
      </c>
      <c r="I44" t="n">
        <v>7.2</v>
      </c>
      <c r="J44" t="n">
        <v>0</v>
      </c>
      <c r="K44" t="n">
        <v>0</v>
      </c>
      <c r="L44" t="n">
        <v>0</v>
      </c>
      <c r="M44" t="n">
        <v>0</v>
      </c>
      <c r="N44" t="n">
        <v>0</v>
      </c>
      <c r="O44" t="n">
        <v>0</v>
      </c>
      <c r="P44" t="n">
        <v>0</v>
      </c>
      <c r="Q44" t="n">
        <v>0</v>
      </c>
      <c r="R44" t="n">
        <v>0</v>
      </c>
      <c r="S44" t="n">
        <v>0</v>
      </c>
      <c r="T44" t="n">
        <v>0</v>
      </c>
      <c r="U44" t="n">
        <v>0</v>
      </c>
      <c r="V44" s="2" t="inlineStr"/>
    </row>
    <row r="45" ht="15" customHeight="1">
      <c r="A45" t="inlineStr">
        <is>
          <t>A 62460-2022</t>
        </is>
      </c>
      <c r="B45" t="inlineStr">
        <is>
          <t>avverkningsanmälan</t>
        </is>
      </c>
      <c r="C45" t="inlineStr">
        <is>
          <t>Föryngringsavverkning</t>
        </is>
      </c>
      <c r="D45" s="1" t="n">
        <v>44916</v>
      </c>
      <c r="E45" s="1" t="n">
        <v>46241</v>
      </c>
      <c r="F45" t="inlineStr">
        <is>
          <t>NORRBOTTENS LÄN</t>
        </is>
      </c>
      <c r="G45" t="inlineStr">
        <is>
          <t>KIRUNA</t>
        </is>
      </c>
      <c r="I45" t="n">
        <v>13.4</v>
      </c>
      <c r="J45" t="n">
        <v>0</v>
      </c>
      <c r="K45" t="n">
        <v>0</v>
      </c>
      <c r="L45" t="n">
        <v>0</v>
      </c>
      <c r="M45" t="n">
        <v>0</v>
      </c>
      <c r="N45" t="n">
        <v>0</v>
      </c>
      <c r="O45" t="n">
        <v>0</v>
      </c>
      <c r="P45" t="n">
        <v>0</v>
      </c>
      <c r="Q45" t="n">
        <v>0</v>
      </c>
      <c r="R45" t="n">
        <v>0</v>
      </c>
      <c r="S45" t="n">
        <v>0</v>
      </c>
      <c r="T45" t="n">
        <v>0</v>
      </c>
      <c r="U45" t="n">
        <v>0</v>
      </c>
      <c r="V45" s="2" t="inlineStr"/>
    </row>
    <row r="46" ht="15" customHeight="1">
      <c r="A46" t="inlineStr">
        <is>
          <t>A 47730-2024</t>
        </is>
      </c>
      <c r="B46" t="inlineStr">
        <is>
          <t>avverkningsanmälan</t>
        </is>
      </c>
      <c r="C46" t="inlineStr">
        <is>
          <t>Föryngringsavverkning</t>
        </is>
      </c>
      <c r="D46" s="1" t="n">
        <v>45588</v>
      </c>
      <c r="E46" s="1" t="n">
        <v>46241</v>
      </c>
      <c r="F46" t="inlineStr">
        <is>
          <t>NORRBOTTENS LÄN</t>
        </is>
      </c>
      <c r="G46" t="inlineStr">
        <is>
          <t>KIRUNA</t>
        </is>
      </c>
      <c r="H46" t="inlineStr">
        <is>
          <t>Allmännings- och besparingsskogar</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36939-2022</t>
        </is>
      </c>
      <c r="B47" t="inlineStr">
        <is>
          <t>avverkningsanmälan</t>
        </is>
      </c>
      <c r="C47" t="inlineStr">
        <is>
          <t>Avverkning för annat ändamål</t>
        </is>
      </c>
      <c r="D47" s="1" t="n">
        <v>44805</v>
      </c>
      <c r="E47" s="1" t="n">
        <v>46241</v>
      </c>
      <c r="F47" t="inlineStr">
        <is>
          <t>NORRBOTTENS LÄN</t>
        </is>
      </c>
      <c r="G47" t="inlineStr">
        <is>
          <t>KIRUNA</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46241</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46241</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46241</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38577-2024</t>
        </is>
      </c>
      <c r="B51" t="inlineStr">
        <is>
          <t>avverkningsanmälan</t>
        </is>
      </c>
      <c r="C51" t="inlineStr">
        <is>
          <t>Föryngringsavverkning</t>
        </is>
      </c>
      <c r="D51" s="1" t="n">
        <v>45546</v>
      </c>
      <c r="E51" s="1" t="n">
        <v>46241</v>
      </c>
      <c r="F51" t="inlineStr">
        <is>
          <t>NORRBOTTENS LÄN</t>
        </is>
      </c>
      <c r="G51" t="inlineStr">
        <is>
          <t>KIRUNA</t>
        </is>
      </c>
      <c r="I51" t="n">
        <v>39.8</v>
      </c>
      <c r="J51" t="n">
        <v>0</v>
      </c>
      <c r="K51" t="n">
        <v>0</v>
      </c>
      <c r="L51" t="n">
        <v>0</v>
      </c>
      <c r="M51" t="n">
        <v>0</v>
      </c>
      <c r="N51" t="n">
        <v>0</v>
      </c>
      <c r="O51" t="n">
        <v>0</v>
      </c>
      <c r="P51" t="n">
        <v>0</v>
      </c>
      <c r="Q51" t="n">
        <v>0</v>
      </c>
      <c r="R51" t="n">
        <v>0</v>
      </c>
      <c r="S51" t="n">
        <v>0</v>
      </c>
      <c r="T51" t="n">
        <v>0</v>
      </c>
      <c r="U51" t="n">
        <v>0</v>
      </c>
      <c r="V51" s="2" t="inlineStr"/>
    </row>
    <row r="52" ht="15" customHeight="1">
      <c r="A52" t="inlineStr">
        <is>
          <t>A 13526-2024</t>
        </is>
      </c>
      <c r="B52" t="inlineStr">
        <is>
          <t>avverkningsanmälan</t>
        </is>
      </c>
      <c r="C52" t="inlineStr">
        <is>
          <t>Föryngringsavverkning</t>
        </is>
      </c>
      <c r="D52" s="1" t="n">
        <v>45387</v>
      </c>
      <c r="E52" s="1" t="n">
        <v>46241</v>
      </c>
      <c r="F52" t="inlineStr">
        <is>
          <t>NORRBOTTENS LÄN</t>
        </is>
      </c>
      <c r="G52" t="inlineStr">
        <is>
          <t>KIRUNA</t>
        </is>
      </c>
      <c r="I52" t="n">
        <v>8.199999999999999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21268-2026</t>
        </is>
      </c>
      <c r="B53" t="inlineStr">
        <is>
          <t>avverkningsanmälan</t>
        </is>
      </c>
      <c r="C53" t="inlineStr">
        <is>
          <t>Föryngringsavverkning</t>
        </is>
      </c>
      <c r="D53" s="1" t="n">
        <v>46147</v>
      </c>
      <c r="E53" s="1" t="n">
        <v>46241</v>
      </c>
      <c r="F53" t="inlineStr">
        <is>
          <t>NORRBOTTENS LÄN</t>
        </is>
      </c>
      <c r="G53" t="inlineStr">
        <is>
          <t>KIRUNA</t>
        </is>
      </c>
      <c r="I53" t="n">
        <v>35.7</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46241</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46241</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39247-2023</t>
        </is>
      </c>
      <c r="B56" t="inlineStr">
        <is>
          <t>avverkningsanmälan</t>
        </is>
      </c>
      <c r="C56" t="inlineStr">
        <is>
          <t>Föryngringsavverkning</t>
        </is>
      </c>
      <c r="D56" s="1" t="n">
        <v>45162</v>
      </c>
      <c r="E56" s="1" t="n">
        <v>46241</v>
      </c>
      <c r="F56" t="inlineStr">
        <is>
          <t>NORRBOTTENS LÄN</t>
        </is>
      </c>
      <c r="G56" t="inlineStr">
        <is>
          <t>KIRUNA</t>
        </is>
      </c>
      <c r="I56" t="n">
        <v>11.7</v>
      </c>
      <c r="J56" t="n">
        <v>0</v>
      </c>
      <c r="K56" t="n">
        <v>0</v>
      </c>
      <c r="L56" t="n">
        <v>0</v>
      </c>
      <c r="M56" t="n">
        <v>0</v>
      </c>
      <c r="N56" t="n">
        <v>0</v>
      </c>
      <c r="O56" t="n">
        <v>0</v>
      </c>
      <c r="P56" t="n">
        <v>0</v>
      </c>
      <c r="Q56" t="n">
        <v>0</v>
      </c>
      <c r="R56" t="n">
        <v>0</v>
      </c>
      <c r="S56" t="n">
        <v>0</v>
      </c>
      <c r="T56" t="n">
        <v>0</v>
      </c>
      <c r="U56" t="n">
        <v>0</v>
      </c>
      <c r="V56" s="2" t="inlineStr"/>
    </row>
    <row r="57" ht="15" customHeight="1">
      <c r="A57" t="inlineStr">
        <is>
          <t>A 148-2026</t>
        </is>
      </c>
      <c r="B57" t="inlineStr">
        <is>
          <t>avverkningsanmälan</t>
        </is>
      </c>
      <c r="C57" t="inlineStr">
        <is>
          <t>Föryngringsavverkning</t>
        </is>
      </c>
      <c r="D57" s="1" t="n">
        <v>46024</v>
      </c>
      <c r="E57" s="1" t="n">
        <v>46241</v>
      </c>
      <c r="F57" t="inlineStr">
        <is>
          <t>NORRBOTTENS LÄN</t>
        </is>
      </c>
      <c r="G57" t="inlineStr">
        <is>
          <t>KIRUNA</t>
        </is>
      </c>
      <c r="I57" t="n">
        <v>10.2</v>
      </c>
      <c r="J57" t="n">
        <v>0</v>
      </c>
      <c r="K57" t="n">
        <v>0</v>
      </c>
      <c r="L57" t="n">
        <v>0</v>
      </c>
      <c r="M57" t="n">
        <v>0</v>
      </c>
      <c r="N57" t="n">
        <v>0</v>
      </c>
      <c r="O57" t="n">
        <v>0</v>
      </c>
      <c r="P57" t="n">
        <v>0</v>
      </c>
      <c r="Q57" t="n">
        <v>0</v>
      </c>
      <c r="R57" t="n">
        <v>0</v>
      </c>
      <c r="S57" t="n">
        <v>0</v>
      </c>
      <c r="T57" t="n">
        <v>0</v>
      </c>
      <c r="U57" t="n">
        <v>0</v>
      </c>
      <c r="V57" s="2" t="inlineStr"/>
    </row>
    <row r="58" ht="15" customHeight="1">
      <c r="A58" t="inlineStr">
        <is>
          <t>A 20578-2025</t>
        </is>
      </c>
      <c r="B58" t="inlineStr">
        <is>
          <t>avverkningsanmälan</t>
        </is>
      </c>
      <c r="C58" t="inlineStr">
        <is>
          <t>Föryngringsavverkning</t>
        </is>
      </c>
      <c r="D58" s="1" t="n">
        <v>45775</v>
      </c>
      <c r="E58" s="1" t="n">
        <v>46241</v>
      </c>
      <c r="F58" t="inlineStr">
        <is>
          <t>NORRBOTTENS LÄN</t>
        </is>
      </c>
      <c r="G58" t="inlineStr">
        <is>
          <t>KIRUNA</t>
        </is>
      </c>
      <c r="H58" t="inlineStr">
        <is>
          <t>Sveaskog</t>
        </is>
      </c>
      <c r="I58" t="n">
        <v>12.5</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46241</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2664-2026</t>
        </is>
      </c>
      <c r="B60" t="inlineStr">
        <is>
          <t>avverkningsanmälan</t>
        </is>
      </c>
      <c r="C60" t="inlineStr">
        <is>
          <t>Föryngringsavverkning</t>
        </is>
      </c>
      <c r="D60" s="1" t="n">
        <v>46037</v>
      </c>
      <c r="E60" s="1" t="n">
        <v>46241</v>
      </c>
      <c r="F60" t="inlineStr">
        <is>
          <t>NORRBOTTENS LÄN</t>
        </is>
      </c>
      <c r="G60" t="inlineStr">
        <is>
          <t>KIRUNA</t>
        </is>
      </c>
      <c r="I60" t="n">
        <v>31.3</v>
      </c>
      <c r="J60" t="n">
        <v>0</v>
      </c>
      <c r="K60" t="n">
        <v>0</v>
      </c>
      <c r="L60" t="n">
        <v>0</v>
      </c>
      <c r="M60" t="n">
        <v>0</v>
      </c>
      <c r="N60" t="n">
        <v>0</v>
      </c>
      <c r="O60" t="n">
        <v>0</v>
      </c>
      <c r="P60" t="n">
        <v>0</v>
      </c>
      <c r="Q60" t="n">
        <v>0</v>
      </c>
      <c r="R60" t="n">
        <v>0</v>
      </c>
      <c r="S60" t="n">
        <v>0</v>
      </c>
      <c r="T60" t="n">
        <v>0</v>
      </c>
      <c r="U60" t="n">
        <v>0</v>
      </c>
      <c r="V60" s="2" t="inlineStr"/>
    </row>
    <row r="61" ht="15" customHeight="1">
      <c r="A61" t="inlineStr">
        <is>
          <t>A 30591-2026</t>
        </is>
      </c>
      <c r="B61" t="inlineStr">
        <is>
          <t>avverkningsanmälan</t>
        </is>
      </c>
      <c r="C61" t="inlineStr">
        <is>
          <t>Föryngringsavverkning</t>
        </is>
      </c>
      <c r="D61" s="1" t="n">
        <v>46210</v>
      </c>
      <c r="E61" s="1" t="n">
        <v>46241</v>
      </c>
      <c r="F61" t="inlineStr">
        <is>
          <t>NORRBOTTENS LÄN</t>
        </is>
      </c>
      <c r="G61" t="inlineStr">
        <is>
          <t>KIRUNA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30594-2026</t>
        </is>
      </c>
      <c r="B62" t="inlineStr">
        <is>
          <t>avverkningsanmälan</t>
        </is>
      </c>
      <c r="C62" t="inlineStr">
        <is>
          <t>Föryngringsavverkning</t>
        </is>
      </c>
      <c r="D62" s="1" t="n">
        <v>46210</v>
      </c>
      <c r="E62" s="1" t="n">
        <v>46241</v>
      </c>
      <c r="F62" t="inlineStr">
        <is>
          <t>NORRBOTTENS LÄN</t>
        </is>
      </c>
      <c r="G62" t="inlineStr">
        <is>
          <t>KIRUNA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46241</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28707-2022</t>
        </is>
      </c>
      <c r="B64" t="inlineStr">
        <is>
          <t>avverkningsanmälan</t>
        </is>
      </c>
      <c r="C64" t="inlineStr">
        <is>
          <t>Föryngringsavverkning</t>
        </is>
      </c>
      <c r="D64" s="1" t="n">
        <v>44748</v>
      </c>
      <c r="E64" s="1" t="n">
        <v>46241</v>
      </c>
      <c r="F64" t="inlineStr">
        <is>
          <t>NORRBOTTENS LÄN</t>
        </is>
      </c>
      <c r="G64" t="inlineStr">
        <is>
          <t>KIRUNA</t>
        </is>
      </c>
      <c r="I64" t="n">
        <v>15.2</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46241</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39271-2023</t>
        </is>
      </c>
      <c r="B66" t="inlineStr">
        <is>
          <t>avverkningsanmälan</t>
        </is>
      </c>
      <c r="C66" t="inlineStr">
        <is>
          <t>Föryngringsavverkning</t>
        </is>
      </c>
      <c r="D66" s="1" t="n">
        <v>45162</v>
      </c>
      <c r="E66" s="1" t="n">
        <v>46241</v>
      </c>
      <c r="F66" t="inlineStr">
        <is>
          <t>NORRBOTTENS LÄN</t>
        </is>
      </c>
      <c r="G66" t="inlineStr">
        <is>
          <t>KIRUNA</t>
        </is>
      </c>
      <c r="I66" t="n">
        <v>51.9</v>
      </c>
      <c r="J66" t="n">
        <v>0</v>
      </c>
      <c r="K66" t="n">
        <v>0</v>
      </c>
      <c r="L66" t="n">
        <v>0</v>
      </c>
      <c r="M66" t="n">
        <v>0</v>
      </c>
      <c r="N66" t="n">
        <v>0</v>
      </c>
      <c r="O66" t="n">
        <v>0</v>
      </c>
      <c r="P66" t="n">
        <v>0</v>
      </c>
      <c r="Q66" t="n">
        <v>0</v>
      </c>
      <c r="R66" t="n">
        <v>0</v>
      </c>
      <c r="S66" t="n">
        <v>0</v>
      </c>
      <c r="T66" t="n">
        <v>0</v>
      </c>
      <c r="U66" t="n">
        <v>0</v>
      </c>
      <c r="V66" s="2" t="inlineStr"/>
    </row>
    <row r="67" ht="15" customHeight="1">
      <c r="A67" t="inlineStr">
        <is>
          <t>A 13405-2026</t>
        </is>
      </c>
      <c r="B67" t="inlineStr">
        <is>
          <t>avverkningsanmälan</t>
        </is>
      </c>
      <c r="C67" t="inlineStr">
        <is>
          <t>Föryngringsavverkning</t>
        </is>
      </c>
      <c r="D67" s="1" t="n">
        <v>46094</v>
      </c>
      <c r="E67" s="1" t="n">
        <v>46241</v>
      </c>
      <c r="F67" t="inlineStr">
        <is>
          <t>NORRBOTTENS LÄN</t>
        </is>
      </c>
      <c r="G67" t="inlineStr">
        <is>
          <t>KIRUNA</t>
        </is>
      </c>
      <c r="I67" t="n">
        <v>24.5</v>
      </c>
      <c r="J67" t="n">
        <v>0</v>
      </c>
      <c r="K67" t="n">
        <v>0</v>
      </c>
      <c r="L67" t="n">
        <v>0</v>
      </c>
      <c r="M67" t="n">
        <v>0</v>
      </c>
      <c r="N67" t="n">
        <v>0</v>
      </c>
      <c r="O67" t="n">
        <v>0</v>
      </c>
      <c r="P67" t="n">
        <v>0</v>
      </c>
      <c r="Q67" t="n">
        <v>0</v>
      </c>
      <c r="R67" t="n">
        <v>0</v>
      </c>
      <c r="S67" t="n">
        <v>0</v>
      </c>
      <c r="T67" t="n">
        <v>0</v>
      </c>
      <c r="U67" t="n">
        <v>0</v>
      </c>
      <c r="V67" s="2" t="inlineStr"/>
    </row>
    <row r="68" ht="15" customHeight="1">
      <c r="A68" t="inlineStr">
        <is>
          <t>A 93-2024</t>
        </is>
      </c>
      <c r="B68" t="inlineStr">
        <is>
          <t>avverkningsanmälan</t>
        </is>
      </c>
      <c r="C68" t="inlineStr">
        <is>
          <t>Avverkning för annat ändamål</t>
        </is>
      </c>
      <c r="D68" s="1" t="n">
        <v>45293</v>
      </c>
      <c r="E68" s="1" t="n">
        <v>46241</v>
      </c>
      <c r="F68" t="inlineStr">
        <is>
          <t>NORRBOTTENS LÄN</t>
        </is>
      </c>
      <c r="G68" t="inlineStr">
        <is>
          <t>KIRUNA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30562-2026</t>
        </is>
      </c>
      <c r="B69" t="inlineStr">
        <is>
          <t>avverkningsanmälan</t>
        </is>
      </c>
      <c r="C69" t="inlineStr">
        <is>
          <t>Föryngringsavverkning</t>
        </is>
      </c>
      <c r="D69" s="1" t="n">
        <v>46210</v>
      </c>
      <c r="E69" s="1" t="n">
        <v>46241</v>
      </c>
      <c r="F69" t="inlineStr">
        <is>
          <t>NORRBOTTENS LÄN</t>
        </is>
      </c>
      <c r="G69" t="inlineStr">
        <is>
          <t>KIRUNA</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30524-2026</t>
        </is>
      </c>
      <c r="B70" t="inlineStr">
        <is>
          <t>avverkningsanmälan</t>
        </is>
      </c>
      <c r="C70" t="inlineStr">
        <is>
          <t>Föryngringsavverkning</t>
        </is>
      </c>
      <c r="D70" s="1" t="n">
        <v>46210</v>
      </c>
      <c r="E70" s="1" t="n">
        <v>46241</v>
      </c>
      <c r="F70" t="inlineStr">
        <is>
          <t>NORRBOTTENS LÄN</t>
        </is>
      </c>
      <c r="G70" t="inlineStr">
        <is>
          <t>KIRUNA</t>
        </is>
      </c>
      <c r="I70" t="n">
        <v>21.7</v>
      </c>
      <c r="J70" t="n">
        <v>0</v>
      </c>
      <c r="K70" t="n">
        <v>0</v>
      </c>
      <c r="L70" t="n">
        <v>0</v>
      </c>
      <c r="M70" t="n">
        <v>0</v>
      </c>
      <c r="N70" t="n">
        <v>0</v>
      </c>
      <c r="O70" t="n">
        <v>0</v>
      </c>
      <c r="P70" t="n">
        <v>0</v>
      </c>
      <c r="Q70" t="n">
        <v>0</v>
      </c>
      <c r="R70" t="n">
        <v>0</v>
      </c>
      <c r="S70" t="n">
        <v>0</v>
      </c>
      <c r="T70" t="n">
        <v>0</v>
      </c>
      <c r="U70" t="n">
        <v>0</v>
      </c>
      <c r="V70" s="2" t="inlineStr"/>
    </row>
    <row r="71" ht="15" customHeight="1">
      <c r="A71" t="inlineStr">
        <is>
          <t>A 29048-2026</t>
        </is>
      </c>
      <c r="B71" t="inlineStr">
        <is>
          <t>avverkningsanmälan</t>
        </is>
      </c>
      <c r="C71" t="inlineStr">
        <is>
          <t>Föryngringsavverkning</t>
        </is>
      </c>
      <c r="D71" s="1" t="n">
        <v>46199</v>
      </c>
      <c r="E71" s="1" t="n">
        <v>46241</v>
      </c>
      <c r="F71" t="inlineStr">
        <is>
          <t>NORRBOTTENS LÄN</t>
        </is>
      </c>
      <c r="G71" t="inlineStr">
        <is>
          <t>KIRUNA</t>
        </is>
      </c>
      <c r="I71" t="n">
        <v>16.9</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46241</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30548-2026</t>
        </is>
      </c>
      <c r="B73" t="inlineStr">
        <is>
          <t>avverkningsanmälan</t>
        </is>
      </c>
      <c r="C73" t="inlineStr">
        <is>
          <t>Föryngringsavverkning</t>
        </is>
      </c>
      <c r="D73" s="1" t="n">
        <v>46210</v>
      </c>
      <c r="E73" s="1" t="n">
        <v>46241</v>
      </c>
      <c r="F73" t="inlineStr">
        <is>
          <t>NORRBOTTENS LÄN</t>
        </is>
      </c>
      <c r="G73" t="inlineStr">
        <is>
          <t>KIRUNA</t>
        </is>
      </c>
      <c r="I73" t="n">
        <v>25.3</v>
      </c>
      <c r="J73" t="n">
        <v>0</v>
      </c>
      <c r="K73" t="n">
        <v>0</v>
      </c>
      <c r="L73" t="n">
        <v>0</v>
      </c>
      <c r="M73" t="n">
        <v>0</v>
      </c>
      <c r="N73" t="n">
        <v>0</v>
      </c>
      <c r="O73" t="n">
        <v>0</v>
      </c>
      <c r="P73" t="n">
        <v>0</v>
      </c>
      <c r="Q73" t="n">
        <v>0</v>
      </c>
      <c r="R73" t="n">
        <v>0</v>
      </c>
      <c r="S73" t="n">
        <v>0</v>
      </c>
      <c r="T73" t="n">
        <v>0</v>
      </c>
      <c r="U73" t="n">
        <v>0</v>
      </c>
      <c r="V73" s="2" t="inlineStr"/>
    </row>
    <row r="74" ht="15" customHeight="1">
      <c r="A74" t="inlineStr">
        <is>
          <t>A 29171-2026</t>
        </is>
      </c>
      <c r="B74" t="inlineStr">
        <is>
          <t>avverkningsanmälan</t>
        </is>
      </c>
      <c r="C74" t="inlineStr">
        <is>
          <t>Föryngringsavverkning</t>
        </is>
      </c>
      <c r="D74" s="1" t="n">
        <v>46202</v>
      </c>
      <c r="E74" s="1" t="n">
        <v>46241</v>
      </c>
      <c r="F74" t="inlineStr">
        <is>
          <t>NORRBOTTENS LÄN</t>
        </is>
      </c>
      <c r="G74" t="inlineStr">
        <is>
          <t>KIRUNA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46241</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28533-2026</t>
        </is>
      </c>
      <c r="B76" t="inlineStr">
        <is>
          <t>avverkningsanmälan</t>
        </is>
      </c>
      <c r="C76" t="inlineStr">
        <is>
          <t>Föryngringsavverkning</t>
        </is>
      </c>
      <c r="D76" s="1" t="n">
        <v>46197</v>
      </c>
      <c r="E76" s="1" t="n">
        <v>46241</v>
      </c>
      <c r="F76" t="inlineStr">
        <is>
          <t>NORRBOTTENS LÄN</t>
        </is>
      </c>
      <c r="G76" t="inlineStr">
        <is>
          <t>KIRUNA</t>
        </is>
      </c>
      <c r="I76" t="n">
        <v>54.2</v>
      </c>
      <c r="J76" t="n">
        <v>0</v>
      </c>
      <c r="K76" t="n">
        <v>0</v>
      </c>
      <c r="L76" t="n">
        <v>0</v>
      </c>
      <c r="M76" t="n">
        <v>0</v>
      </c>
      <c r="N76" t="n">
        <v>0</v>
      </c>
      <c r="O76" t="n">
        <v>0</v>
      </c>
      <c r="P76" t="n">
        <v>0</v>
      </c>
      <c r="Q76" t="n">
        <v>0</v>
      </c>
      <c r="R76" t="n">
        <v>0</v>
      </c>
      <c r="S76" t="n">
        <v>0</v>
      </c>
      <c r="T76" t="n">
        <v>0</v>
      </c>
      <c r="U76" t="n">
        <v>0</v>
      </c>
      <c r="V76" s="2" t="inlineStr"/>
    </row>
    <row r="77" ht="15" customHeight="1">
      <c r="A77" t="inlineStr">
        <is>
          <t>A 18737-2023</t>
        </is>
      </c>
      <c r="B77" t="inlineStr">
        <is>
          <t>avverkningsanmälan</t>
        </is>
      </c>
      <c r="C77" t="inlineStr">
        <is>
          <t>Avverkning för annat ändamål</t>
        </is>
      </c>
      <c r="D77" s="1" t="n">
        <v>45042</v>
      </c>
      <c r="E77" s="1" t="n">
        <v>46241</v>
      </c>
      <c r="F77" t="inlineStr">
        <is>
          <t>NORRBOTTENS LÄN</t>
        </is>
      </c>
      <c r="G77" t="inlineStr">
        <is>
          <t>KIRUNA</t>
        </is>
      </c>
      <c r="H77" t="inlineStr">
        <is>
          <t>Sveaskog</t>
        </is>
      </c>
      <c r="I77" t="n">
        <v>10.7</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46241</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5533-2024</t>
        </is>
      </c>
      <c r="B79" t="inlineStr">
        <is>
          <t>avverkningsanmälan</t>
        </is>
      </c>
      <c r="C79" t="inlineStr">
        <is>
          <t>Avverkning för annat ändamål</t>
        </is>
      </c>
      <c r="D79" s="1" t="n">
        <v>45334</v>
      </c>
      <c r="E79" s="1" t="n">
        <v>46241</v>
      </c>
      <c r="F79" t="inlineStr">
        <is>
          <t>NORRBOTTENS LÄN</t>
        </is>
      </c>
      <c r="G79" t="inlineStr">
        <is>
          <t>KIRUNA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56168-2023</t>
        </is>
      </c>
      <c r="B80" t="inlineStr">
        <is>
          <t>avverkningsanmälan</t>
        </is>
      </c>
      <c r="C80" t="inlineStr">
        <is>
          <t>Avverkning för annat ändamål</t>
        </is>
      </c>
      <c r="D80" s="1" t="n">
        <v>45236</v>
      </c>
      <c r="E80" s="1" t="n">
        <v>46241</v>
      </c>
      <c r="F80" t="inlineStr">
        <is>
          <t>NORRBOTTENS LÄN</t>
        </is>
      </c>
      <c r="G80" t="inlineStr">
        <is>
          <t>KIRUNA</t>
        </is>
      </c>
      <c r="H80" t="inlineStr">
        <is>
          <t>Sveaskog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8350-2025</t>
        </is>
      </c>
      <c r="B81" t="inlineStr">
        <is>
          <t>avverkningsanmälan</t>
        </is>
      </c>
      <c r="C81" t="inlineStr">
        <is>
          <t>Avverkning för annat ändamål</t>
        </is>
      </c>
      <c r="D81" s="1" t="n">
        <v>45708</v>
      </c>
      <c r="E81" s="1" t="n">
        <v>46241</v>
      </c>
      <c r="F81" t="inlineStr">
        <is>
          <t>NORRBOTTENS LÄN</t>
        </is>
      </c>
      <c r="G81" t="inlineStr">
        <is>
          <t>KIRUNA</t>
        </is>
      </c>
      <c r="H81" t="inlineStr">
        <is>
          <t>Övriga statliga verk och myndigheter</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46241</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46241</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34664-2025</t>
        </is>
      </c>
      <c r="B84" t="inlineStr">
        <is>
          <t>avverkningsanmälan</t>
        </is>
      </c>
      <c r="C84" t="inlineStr">
        <is>
          <t>Föryngringsavverkning</t>
        </is>
      </c>
      <c r="D84" s="1" t="n">
        <v>45848</v>
      </c>
      <c r="E84" s="1" t="n">
        <v>46241</v>
      </c>
      <c r="F84" t="inlineStr">
        <is>
          <t>NORRBOTTENS LÄN</t>
        </is>
      </c>
      <c r="G84" t="inlineStr">
        <is>
          <t>KIRUNA</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34663-2025</t>
        </is>
      </c>
      <c r="B85" t="inlineStr">
        <is>
          <t>avverkningsanmälan</t>
        </is>
      </c>
      <c r="C85" t="inlineStr">
        <is>
          <t>Föryngringsavverkning</t>
        </is>
      </c>
      <c r="D85" s="1" t="n">
        <v>45848</v>
      </c>
      <c r="E85" s="1" t="n">
        <v>46241</v>
      </c>
      <c r="F85" t="inlineStr">
        <is>
          <t>NORRBOTTENS LÄN</t>
        </is>
      </c>
      <c r="G85" t="inlineStr">
        <is>
          <t>KIRUNA</t>
        </is>
      </c>
      <c r="I85" t="n">
        <v>5.1</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46241</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2026-08-07T01:57:30Z</dcterms:created>
  <dcterms:modified xmlns:dcterms="http://purl.org/dc/terms/" xmlns:xsi="http://www.w3.org/2001/XMLSchema-instance" xsi:type="dcterms:W3CDTF">2026-08-07T01:57:30Z</dcterms:modified>
</cp:coreProperties>
</file>