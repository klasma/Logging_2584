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46030</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46030</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46030</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46030</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46030</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46030</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46030</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46030</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46030</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46030</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64829-2023</t>
        </is>
      </c>
      <c r="B13" s="1" t="n">
        <v>45281</v>
      </c>
      <c r="C13" s="1" t="n">
        <v>46030</v>
      </c>
      <c r="D13" t="inlineStr">
        <is>
          <t>NORRBOTTENS LÄN</t>
        </is>
      </c>
      <c r="E13" t="inlineStr">
        <is>
          <t>KIRUNA</t>
        </is>
      </c>
      <c r="G13" t="n">
        <v>31.7</v>
      </c>
      <c r="H13" t="n">
        <v>1</v>
      </c>
      <c r="I13" t="n">
        <v>0</v>
      </c>
      <c r="J13" t="n">
        <v>1</v>
      </c>
      <c r="K13" t="n">
        <v>0</v>
      </c>
      <c r="L13" t="n">
        <v>0</v>
      </c>
      <c r="M13" t="n">
        <v>0</v>
      </c>
      <c r="N13" t="n">
        <v>0</v>
      </c>
      <c r="O13" t="n">
        <v>1</v>
      </c>
      <c r="P13" t="n">
        <v>0</v>
      </c>
      <c r="Q13" t="n">
        <v>2</v>
      </c>
      <c r="R13" s="2" t="inlineStr">
        <is>
          <t>Månlåsbräken
Mattlummer</t>
        </is>
      </c>
      <c r="S13">
        <f>HYPERLINK("https://klasma.github.io/Logging_2584/artfynd/A 64829-2023 artfynd.xlsx", "A 64829-2023")</f>
        <v/>
      </c>
      <c r="T13">
        <f>HYPERLINK("https://klasma.github.io/Logging_2584/kartor/A 64829-2023 karta.png", "A 64829-2023")</f>
        <v/>
      </c>
      <c r="V13">
        <f>HYPERLINK("https://klasma.github.io/Logging_2584/klagomål/A 64829-2023 FSC-klagomål.docx", "A 64829-2023")</f>
        <v/>
      </c>
      <c r="W13">
        <f>HYPERLINK("https://klasma.github.io/Logging_2584/klagomålsmail/A 64829-2023 FSC-klagomål mail.docx", "A 64829-2023")</f>
        <v/>
      </c>
      <c r="X13">
        <f>HYPERLINK("https://klasma.github.io/Logging_2584/tillsyn/A 64829-2023 tillsynsbegäran.docx", "A 64829-2023")</f>
        <v/>
      </c>
      <c r="Y13">
        <f>HYPERLINK("https://klasma.github.io/Logging_2584/tillsynsmail/A 64829-2023 tillsynsbegäran mail.docx", "A 64829-2023")</f>
        <v/>
      </c>
    </row>
    <row r="14" ht="15" customHeight="1">
      <c r="A14" t="inlineStr">
        <is>
          <t>A 45810-2022</t>
        </is>
      </c>
      <c r="B14" s="1" t="n">
        <v>44844</v>
      </c>
      <c r="C14" s="1" t="n">
        <v>46030</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46030</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46030</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46030</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46030</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46030</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46030</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46030</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46030</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46030</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46030</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46030</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46030</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46030</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46030</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46030</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46030</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46030</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46030</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49704-2024</t>
        </is>
      </c>
      <c r="B33" s="1" t="n">
        <v>45596</v>
      </c>
      <c r="C33" s="1" t="n">
        <v>46030</v>
      </c>
      <c r="D33" t="inlineStr">
        <is>
          <t>NORRBOTTENS LÄN</t>
        </is>
      </c>
      <c r="E33" t="inlineStr">
        <is>
          <t>KIRUNA</t>
        </is>
      </c>
      <c r="G33" t="n">
        <v>17.4</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46030</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18698-2025</t>
        </is>
      </c>
      <c r="B35" s="1" t="n">
        <v>45763</v>
      </c>
      <c r="C35" s="1" t="n">
        <v>46030</v>
      </c>
      <c r="D35" t="inlineStr">
        <is>
          <t>NORRBOTTENS LÄN</t>
        </is>
      </c>
      <c r="E35" t="inlineStr">
        <is>
          <t>KIRUNA</t>
        </is>
      </c>
      <c r="G35" t="n">
        <v>29.7</v>
      </c>
      <c r="H35" t="n">
        <v>0</v>
      </c>
      <c r="I35" t="n">
        <v>0</v>
      </c>
      <c r="J35" t="n">
        <v>0</v>
      </c>
      <c r="K35" t="n">
        <v>0</v>
      </c>
      <c r="L35" t="n">
        <v>0</v>
      </c>
      <c r="M35" t="n">
        <v>0</v>
      </c>
      <c r="N35" t="n">
        <v>0</v>
      </c>
      <c r="O35" t="n">
        <v>0</v>
      </c>
      <c r="P35" t="n">
        <v>0</v>
      </c>
      <c r="Q35" t="n">
        <v>0</v>
      </c>
      <c r="R35" s="2" t="inlineStr"/>
    </row>
    <row r="36" ht="15" customHeight="1">
      <c r="A36" t="inlineStr">
        <is>
          <t>A 61066-2024</t>
        </is>
      </c>
      <c r="B36" s="1" t="n">
        <v>45645.49744212963</v>
      </c>
      <c r="C36" s="1" t="n">
        <v>46030</v>
      </c>
      <c r="D36" t="inlineStr">
        <is>
          <t>NORRBOTTENS LÄN</t>
        </is>
      </c>
      <c r="E36" t="inlineStr">
        <is>
          <t>KIRUNA</t>
        </is>
      </c>
      <c r="G36" t="n">
        <v>4.5</v>
      </c>
      <c r="H36" t="n">
        <v>0</v>
      </c>
      <c r="I36" t="n">
        <v>0</v>
      </c>
      <c r="J36" t="n">
        <v>0</v>
      </c>
      <c r="K36" t="n">
        <v>0</v>
      </c>
      <c r="L36" t="n">
        <v>0</v>
      </c>
      <c r="M36" t="n">
        <v>0</v>
      </c>
      <c r="N36" t="n">
        <v>0</v>
      </c>
      <c r="O36" t="n">
        <v>0</v>
      </c>
      <c r="P36" t="n">
        <v>0</v>
      </c>
      <c r="Q36" t="n">
        <v>0</v>
      </c>
      <c r="R36" s="2" t="inlineStr"/>
    </row>
    <row r="37" ht="15" customHeight="1">
      <c r="A37" t="inlineStr">
        <is>
          <t>A 62460-2022</t>
        </is>
      </c>
      <c r="B37" s="1" t="n">
        <v>44916</v>
      </c>
      <c r="C37" s="1" t="n">
        <v>46030</v>
      </c>
      <c r="D37" t="inlineStr">
        <is>
          <t>NORRBOTTENS LÄN</t>
        </is>
      </c>
      <c r="E37" t="inlineStr">
        <is>
          <t>KIRUNA</t>
        </is>
      </c>
      <c r="G37" t="n">
        <v>13.4</v>
      </c>
      <c r="H37" t="n">
        <v>0</v>
      </c>
      <c r="I37" t="n">
        <v>0</v>
      </c>
      <c r="J37" t="n">
        <v>0</v>
      </c>
      <c r="K37" t="n">
        <v>0</v>
      </c>
      <c r="L37" t="n">
        <v>0</v>
      </c>
      <c r="M37" t="n">
        <v>0</v>
      </c>
      <c r="N37" t="n">
        <v>0</v>
      </c>
      <c r="O37" t="n">
        <v>0</v>
      </c>
      <c r="P37" t="n">
        <v>0</v>
      </c>
      <c r="Q37" t="n">
        <v>0</v>
      </c>
      <c r="R37" s="2" t="inlineStr"/>
    </row>
    <row r="38" ht="15" customHeight="1">
      <c r="A38" t="inlineStr">
        <is>
          <t>A 60064-2023</t>
        </is>
      </c>
      <c r="B38" s="1" t="n">
        <v>45258.3846412037</v>
      </c>
      <c r="C38" s="1" t="n">
        <v>46030</v>
      </c>
      <c r="D38" t="inlineStr">
        <is>
          <t>NORRBOTTENS LÄN</t>
        </is>
      </c>
      <c r="E38" t="inlineStr">
        <is>
          <t>KIRUNA</t>
        </is>
      </c>
      <c r="G38" t="n">
        <v>19.8</v>
      </c>
      <c r="H38" t="n">
        <v>0</v>
      </c>
      <c r="I38" t="n">
        <v>0</v>
      </c>
      <c r="J38" t="n">
        <v>0</v>
      </c>
      <c r="K38" t="n">
        <v>0</v>
      </c>
      <c r="L38" t="n">
        <v>0</v>
      </c>
      <c r="M38" t="n">
        <v>0</v>
      </c>
      <c r="N38" t="n">
        <v>0</v>
      </c>
      <c r="O38" t="n">
        <v>0</v>
      </c>
      <c r="P38" t="n">
        <v>0</v>
      </c>
      <c r="Q38" t="n">
        <v>0</v>
      </c>
      <c r="R38" s="2" t="inlineStr"/>
    </row>
    <row r="39" ht="15" customHeight="1">
      <c r="A39" t="inlineStr">
        <is>
          <t>A 50590-2023</t>
        </is>
      </c>
      <c r="B39" s="1" t="n">
        <v>45217.40167824074</v>
      </c>
      <c r="C39" s="1" t="n">
        <v>46030</v>
      </c>
      <c r="D39" t="inlineStr">
        <is>
          <t>NORRBOTTENS LÄN</t>
        </is>
      </c>
      <c r="E39" t="inlineStr">
        <is>
          <t>KIRUNA</t>
        </is>
      </c>
      <c r="G39" t="n">
        <v>1.3</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46030</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148-2026</t>
        </is>
      </c>
      <c r="B41" s="1" t="n">
        <v>46024.6446875</v>
      </c>
      <c r="C41" s="1" t="n">
        <v>46030</v>
      </c>
      <c r="D41" t="inlineStr">
        <is>
          <t>NORRBOTTENS LÄN</t>
        </is>
      </c>
      <c r="E41" t="inlineStr">
        <is>
          <t>KIRUNA</t>
        </is>
      </c>
      <c r="G41" t="n">
        <v>10.2</v>
      </c>
      <c r="H41" t="n">
        <v>0</v>
      </c>
      <c r="I41" t="n">
        <v>0</v>
      </c>
      <c r="J41" t="n">
        <v>0</v>
      </c>
      <c r="K41" t="n">
        <v>0</v>
      </c>
      <c r="L41" t="n">
        <v>0</v>
      </c>
      <c r="M41" t="n">
        <v>0</v>
      </c>
      <c r="N41" t="n">
        <v>0</v>
      </c>
      <c r="O41" t="n">
        <v>0</v>
      </c>
      <c r="P41" t="n">
        <v>0</v>
      </c>
      <c r="Q41" t="n">
        <v>0</v>
      </c>
      <c r="R41" s="2" t="inlineStr"/>
    </row>
    <row r="42" ht="15" customHeight="1">
      <c r="A42" t="inlineStr">
        <is>
          <t>A 33183-2025</t>
        </is>
      </c>
      <c r="B42" s="1" t="n">
        <v>45840.59206018518</v>
      </c>
      <c r="C42" s="1" t="n">
        <v>46030</v>
      </c>
      <c r="D42" t="inlineStr">
        <is>
          <t>NORRBOTTENS LÄN</t>
        </is>
      </c>
      <c r="E42" t="inlineStr">
        <is>
          <t>KIRUNA</t>
        </is>
      </c>
      <c r="G42" t="n">
        <v>2.8</v>
      </c>
      <c r="H42" t="n">
        <v>0</v>
      </c>
      <c r="I42" t="n">
        <v>0</v>
      </c>
      <c r="J42" t="n">
        <v>0</v>
      </c>
      <c r="K42" t="n">
        <v>0</v>
      </c>
      <c r="L42" t="n">
        <v>0</v>
      </c>
      <c r="M42" t="n">
        <v>0</v>
      </c>
      <c r="N42" t="n">
        <v>0</v>
      </c>
      <c r="O42" t="n">
        <v>0</v>
      </c>
      <c r="P42" t="n">
        <v>0</v>
      </c>
      <c r="Q42" t="n">
        <v>0</v>
      </c>
      <c r="R42" s="2" t="inlineStr"/>
    </row>
    <row r="43" ht="15" customHeight="1">
      <c r="A43" t="inlineStr">
        <is>
          <t>A 34663-2025</t>
        </is>
      </c>
      <c r="B43" s="1" t="n">
        <v>45848.37454861111</v>
      </c>
      <c r="C43" s="1" t="n">
        <v>46030</v>
      </c>
      <c r="D43" t="inlineStr">
        <is>
          <t>NORRBOTTENS LÄN</t>
        </is>
      </c>
      <c r="E43" t="inlineStr">
        <is>
          <t>KIRUNA</t>
        </is>
      </c>
      <c r="G43" t="n">
        <v>5.1</v>
      </c>
      <c r="H43" t="n">
        <v>0</v>
      </c>
      <c r="I43" t="n">
        <v>0</v>
      </c>
      <c r="J43" t="n">
        <v>0</v>
      </c>
      <c r="K43" t="n">
        <v>0</v>
      </c>
      <c r="L43" t="n">
        <v>0</v>
      </c>
      <c r="M43" t="n">
        <v>0</v>
      </c>
      <c r="N43" t="n">
        <v>0</v>
      </c>
      <c r="O43" t="n">
        <v>0</v>
      </c>
      <c r="P43" t="n">
        <v>0</v>
      </c>
      <c r="Q43" t="n">
        <v>0</v>
      </c>
      <c r="R43" s="2" t="inlineStr"/>
    </row>
    <row r="44" ht="15" customHeight="1">
      <c r="A44" t="inlineStr">
        <is>
          <t>A 34664-2025</t>
        </is>
      </c>
      <c r="B44" s="1" t="n">
        <v>45848.37857638889</v>
      </c>
      <c r="C44" s="1" t="n">
        <v>46030</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50338-2025</t>
        </is>
      </c>
      <c r="B45" s="1" t="n">
        <v>45944.52140046296</v>
      </c>
      <c r="C45" s="1" t="n">
        <v>46030</v>
      </c>
      <c r="D45" t="inlineStr">
        <is>
          <t>NORRBOTTENS LÄN</t>
        </is>
      </c>
      <c r="E45" t="inlineStr">
        <is>
          <t>KIRUNA</t>
        </is>
      </c>
      <c r="F45" t="inlineStr">
        <is>
          <t>SCA</t>
        </is>
      </c>
      <c r="G45" t="n">
        <v>22.6</v>
      </c>
      <c r="H45" t="n">
        <v>0</v>
      </c>
      <c r="I45" t="n">
        <v>0</v>
      </c>
      <c r="J45" t="n">
        <v>0</v>
      </c>
      <c r="K45" t="n">
        <v>0</v>
      </c>
      <c r="L45" t="n">
        <v>0</v>
      </c>
      <c r="M45" t="n">
        <v>0</v>
      </c>
      <c r="N45" t="n">
        <v>0</v>
      </c>
      <c r="O45" t="n">
        <v>0</v>
      </c>
      <c r="P45" t="n">
        <v>0</v>
      </c>
      <c r="Q45" t="n">
        <v>0</v>
      </c>
      <c r="R45" s="2" t="inlineStr"/>
    </row>
    <row r="46" ht="15" customHeight="1">
      <c r="A46" t="inlineStr">
        <is>
          <t>A 5533-2024</t>
        </is>
      </c>
      <c r="B46" s="1" t="n">
        <v>45334</v>
      </c>
      <c r="C46" s="1" t="n">
        <v>46030</v>
      </c>
      <c r="D46" t="inlineStr">
        <is>
          <t>NORRBOTTENS LÄN</t>
        </is>
      </c>
      <c r="E46" t="inlineStr">
        <is>
          <t>KIRUNA</t>
        </is>
      </c>
      <c r="G46" t="n">
        <v>2.4</v>
      </c>
      <c r="H46" t="n">
        <v>0</v>
      </c>
      <c r="I46" t="n">
        <v>0</v>
      </c>
      <c r="J46" t="n">
        <v>0</v>
      </c>
      <c r="K46" t="n">
        <v>0</v>
      </c>
      <c r="L46" t="n">
        <v>0</v>
      </c>
      <c r="M46" t="n">
        <v>0</v>
      </c>
      <c r="N46" t="n">
        <v>0</v>
      </c>
      <c r="O46" t="n">
        <v>0</v>
      </c>
      <c r="P46" t="n">
        <v>0</v>
      </c>
      <c r="Q46" t="n">
        <v>0</v>
      </c>
      <c r="R46" s="2" t="inlineStr"/>
    </row>
    <row r="47" ht="15" customHeight="1">
      <c r="A47" t="inlineStr">
        <is>
          <t>A 9605-2024</t>
        </is>
      </c>
      <c r="B47" s="1" t="n">
        <v>45361.44230324074</v>
      </c>
      <c r="C47" s="1" t="n">
        <v>46030</v>
      </c>
      <c r="D47" t="inlineStr">
        <is>
          <t>NORRBOTTENS LÄN</t>
        </is>
      </c>
      <c r="E47" t="inlineStr">
        <is>
          <t>KIRUNA</t>
        </is>
      </c>
      <c r="G47" t="n">
        <v>8.4</v>
      </c>
      <c r="H47" t="n">
        <v>0</v>
      </c>
      <c r="I47" t="n">
        <v>0</v>
      </c>
      <c r="J47" t="n">
        <v>0</v>
      </c>
      <c r="K47" t="n">
        <v>0</v>
      </c>
      <c r="L47" t="n">
        <v>0</v>
      </c>
      <c r="M47" t="n">
        <v>0</v>
      </c>
      <c r="N47" t="n">
        <v>0</v>
      </c>
      <c r="O47" t="n">
        <v>0</v>
      </c>
      <c r="P47" t="n">
        <v>0</v>
      </c>
      <c r="Q47" t="n">
        <v>0</v>
      </c>
      <c r="R47" s="2" t="inlineStr"/>
    </row>
    <row r="48" ht="15" customHeight="1">
      <c r="A48" t="inlineStr">
        <is>
          <t>A 5411-2024</t>
        </is>
      </c>
      <c r="B48" s="1" t="n">
        <v>45331</v>
      </c>
      <c r="C48" s="1" t="n">
        <v>46030</v>
      </c>
      <c r="D48" t="inlineStr">
        <is>
          <t>NORRBOTTENS LÄN</t>
        </is>
      </c>
      <c r="E48" t="inlineStr">
        <is>
          <t>KIRUNA</t>
        </is>
      </c>
      <c r="G48" t="n">
        <v>3.9</v>
      </c>
      <c r="H48" t="n">
        <v>0</v>
      </c>
      <c r="I48" t="n">
        <v>0</v>
      </c>
      <c r="J48" t="n">
        <v>0</v>
      </c>
      <c r="K48" t="n">
        <v>0</v>
      </c>
      <c r="L48" t="n">
        <v>0</v>
      </c>
      <c r="M48" t="n">
        <v>0</v>
      </c>
      <c r="N48" t="n">
        <v>0</v>
      </c>
      <c r="O48" t="n">
        <v>0</v>
      </c>
      <c r="P48" t="n">
        <v>0</v>
      </c>
      <c r="Q48" t="n">
        <v>0</v>
      </c>
      <c r="R48" s="2" t="inlineStr"/>
    </row>
    <row r="49" ht="15" customHeight="1">
      <c r="A49" t="inlineStr">
        <is>
          <t>A 28707-2022</t>
        </is>
      </c>
      <c r="B49" s="1" t="n">
        <v>44748</v>
      </c>
      <c r="C49" s="1" t="n">
        <v>46030</v>
      </c>
      <c r="D49" t="inlineStr">
        <is>
          <t>NORRBOTTENS LÄN</t>
        </is>
      </c>
      <c r="E49" t="inlineStr">
        <is>
          <t>KIRUNA</t>
        </is>
      </c>
      <c r="G49" t="n">
        <v>15.2</v>
      </c>
      <c r="H49" t="n">
        <v>0</v>
      </c>
      <c r="I49" t="n">
        <v>0</v>
      </c>
      <c r="J49" t="n">
        <v>0</v>
      </c>
      <c r="K49" t="n">
        <v>0</v>
      </c>
      <c r="L49" t="n">
        <v>0</v>
      </c>
      <c r="M49" t="n">
        <v>0</v>
      </c>
      <c r="N49" t="n">
        <v>0</v>
      </c>
      <c r="O49" t="n">
        <v>0</v>
      </c>
      <c r="P49" t="n">
        <v>0</v>
      </c>
      <c r="Q49" t="n">
        <v>0</v>
      </c>
      <c r="R49" s="2" t="inlineStr"/>
    </row>
    <row r="50" ht="15" customHeight="1">
      <c r="A50" t="inlineStr">
        <is>
          <t>A 9068-2023</t>
        </is>
      </c>
      <c r="B50" s="1" t="n">
        <v>44979</v>
      </c>
      <c r="C50" s="1" t="n">
        <v>46030</v>
      </c>
      <c r="D50" t="inlineStr">
        <is>
          <t>NORRBOTTENS LÄN</t>
        </is>
      </c>
      <c r="E50" t="inlineStr">
        <is>
          <t>KIRUNA</t>
        </is>
      </c>
      <c r="F50" t="inlineStr">
        <is>
          <t>SCA</t>
        </is>
      </c>
      <c r="G50" t="n">
        <v>4.6</v>
      </c>
      <c r="H50" t="n">
        <v>0</v>
      </c>
      <c r="I50" t="n">
        <v>0</v>
      </c>
      <c r="J50" t="n">
        <v>0</v>
      </c>
      <c r="K50" t="n">
        <v>0</v>
      </c>
      <c r="L50" t="n">
        <v>0</v>
      </c>
      <c r="M50" t="n">
        <v>0</v>
      </c>
      <c r="N50" t="n">
        <v>0</v>
      </c>
      <c r="O50" t="n">
        <v>0</v>
      </c>
      <c r="P50" t="n">
        <v>0</v>
      </c>
      <c r="Q50" t="n">
        <v>0</v>
      </c>
      <c r="R50" s="2" t="inlineStr"/>
    </row>
    <row r="51" ht="15" customHeight="1">
      <c r="A51" t="inlineStr">
        <is>
          <t>A 93-2024</t>
        </is>
      </c>
      <c r="B51" s="1" t="n">
        <v>45293</v>
      </c>
      <c r="C51" s="1" t="n">
        <v>46030</v>
      </c>
      <c r="D51" t="inlineStr">
        <is>
          <t>NORRBOTTENS LÄN</t>
        </is>
      </c>
      <c r="E51" t="inlineStr">
        <is>
          <t>KIRUNA</t>
        </is>
      </c>
      <c r="G51" t="n">
        <v>0.8</v>
      </c>
      <c r="H51" t="n">
        <v>0</v>
      </c>
      <c r="I51" t="n">
        <v>0</v>
      </c>
      <c r="J51" t="n">
        <v>0</v>
      </c>
      <c r="K51" t="n">
        <v>0</v>
      </c>
      <c r="L51" t="n">
        <v>0</v>
      </c>
      <c r="M51" t="n">
        <v>0</v>
      </c>
      <c r="N51" t="n">
        <v>0</v>
      </c>
      <c r="O51" t="n">
        <v>0</v>
      </c>
      <c r="P51" t="n">
        <v>0</v>
      </c>
      <c r="Q51" t="n">
        <v>0</v>
      </c>
      <c r="R51" s="2" t="inlineStr"/>
    </row>
    <row r="52" ht="15" customHeight="1">
      <c r="A52" t="inlineStr">
        <is>
          <t>A 39271-2023</t>
        </is>
      </c>
      <c r="B52" s="1" t="n">
        <v>45162</v>
      </c>
      <c r="C52" s="1" t="n">
        <v>46030</v>
      </c>
      <c r="D52" t="inlineStr">
        <is>
          <t>NORRBOTTENS LÄN</t>
        </is>
      </c>
      <c r="E52" t="inlineStr">
        <is>
          <t>KIRUNA</t>
        </is>
      </c>
      <c r="G52" t="n">
        <v>51.9</v>
      </c>
      <c r="H52" t="n">
        <v>0</v>
      </c>
      <c r="I52" t="n">
        <v>0</v>
      </c>
      <c r="J52" t="n">
        <v>0</v>
      </c>
      <c r="K52" t="n">
        <v>0</v>
      </c>
      <c r="L52" t="n">
        <v>0</v>
      </c>
      <c r="M52" t="n">
        <v>0</v>
      </c>
      <c r="N52" t="n">
        <v>0</v>
      </c>
      <c r="O52" t="n">
        <v>0</v>
      </c>
      <c r="P52" t="n">
        <v>0</v>
      </c>
      <c r="Q52" t="n">
        <v>0</v>
      </c>
      <c r="R52" s="2" t="inlineStr"/>
    </row>
    <row r="53" ht="15" customHeight="1">
      <c r="A53" t="inlineStr">
        <is>
          <t>A 20893-2025</t>
        </is>
      </c>
      <c r="B53" s="1" t="n">
        <v>45776</v>
      </c>
      <c r="C53" s="1" t="n">
        <v>46030</v>
      </c>
      <c r="D53" t="inlineStr">
        <is>
          <t>NORRBOTTENS LÄN</t>
        </is>
      </c>
      <c r="E53" t="inlineStr">
        <is>
          <t>KIRUNA</t>
        </is>
      </c>
      <c r="G53" t="n">
        <v>27.3</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46030</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46030</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56168-2023</t>
        </is>
      </c>
      <c r="B56" s="1" t="n">
        <v>45236</v>
      </c>
      <c r="C56" s="1" t="n">
        <v>46030</v>
      </c>
      <c r="D56" t="inlineStr">
        <is>
          <t>NORRBOTTENS LÄN</t>
        </is>
      </c>
      <c r="E56" t="inlineStr">
        <is>
          <t>KIRUNA</t>
        </is>
      </c>
      <c r="F56" t="inlineStr">
        <is>
          <t>Sveaskog</t>
        </is>
      </c>
      <c r="G56" t="n">
        <v>6.6</v>
      </c>
      <c r="H56" t="n">
        <v>0</v>
      </c>
      <c r="I56" t="n">
        <v>0</v>
      </c>
      <c r="J56" t="n">
        <v>0</v>
      </c>
      <c r="K56" t="n">
        <v>0</v>
      </c>
      <c r="L56" t="n">
        <v>0</v>
      </c>
      <c r="M56" t="n">
        <v>0</v>
      </c>
      <c r="N56" t="n">
        <v>0</v>
      </c>
      <c r="O56" t="n">
        <v>0</v>
      </c>
      <c r="P56" t="n">
        <v>0</v>
      </c>
      <c r="Q56" t="n">
        <v>0</v>
      </c>
      <c r="R56" s="2" t="inlineStr"/>
    </row>
    <row r="57" ht="15" customHeight="1">
      <c r="A57" t="inlineStr">
        <is>
          <t>A 22494-2024</t>
        </is>
      </c>
      <c r="B57" s="1" t="n">
        <v>45447</v>
      </c>
      <c r="C57" s="1" t="n">
        <v>46030</v>
      </c>
      <c r="D57" t="inlineStr">
        <is>
          <t>NORRBOTTENS LÄN</t>
        </is>
      </c>
      <c r="E57" t="inlineStr">
        <is>
          <t>KIRUNA</t>
        </is>
      </c>
      <c r="G57" t="n">
        <v>6</v>
      </c>
      <c r="H57" t="n">
        <v>0</v>
      </c>
      <c r="I57" t="n">
        <v>0</v>
      </c>
      <c r="J57" t="n">
        <v>0</v>
      </c>
      <c r="K57" t="n">
        <v>0</v>
      </c>
      <c r="L57" t="n">
        <v>0</v>
      </c>
      <c r="M57" t="n">
        <v>0</v>
      </c>
      <c r="N57" t="n">
        <v>0</v>
      </c>
      <c r="O57" t="n">
        <v>0</v>
      </c>
      <c r="P57" t="n">
        <v>0</v>
      </c>
      <c r="Q57" t="n">
        <v>0</v>
      </c>
      <c r="R57" s="2" t="inlineStr"/>
    </row>
    <row r="58" ht="15" customHeight="1">
      <c r="A58" t="inlineStr">
        <is>
          <t>A 16024-2024</t>
        </is>
      </c>
      <c r="B58" s="1" t="n">
        <v>45405</v>
      </c>
      <c r="C58" s="1" t="n">
        <v>46030</v>
      </c>
      <c r="D58" t="inlineStr">
        <is>
          <t>NORRBOTTENS LÄN</t>
        </is>
      </c>
      <c r="E58" t="inlineStr">
        <is>
          <t>KIRUNA</t>
        </is>
      </c>
      <c r="G58" t="n">
        <v>2.3</v>
      </c>
      <c r="H58" t="n">
        <v>0</v>
      </c>
      <c r="I58" t="n">
        <v>0</v>
      </c>
      <c r="J58" t="n">
        <v>0</v>
      </c>
      <c r="K58" t="n">
        <v>0</v>
      </c>
      <c r="L58" t="n">
        <v>0</v>
      </c>
      <c r="M58" t="n">
        <v>0</v>
      </c>
      <c r="N58" t="n">
        <v>0</v>
      </c>
      <c r="O58" t="n">
        <v>0</v>
      </c>
      <c r="P58" t="n">
        <v>0</v>
      </c>
      <c r="Q58" t="n">
        <v>0</v>
      </c>
      <c r="R58" s="2" t="inlineStr"/>
    </row>
    <row r="59" ht="15" customHeight="1">
      <c r="A59" t="inlineStr">
        <is>
          <t>A 47730-2024</t>
        </is>
      </c>
      <c r="B59" s="1" t="n">
        <v>45588</v>
      </c>
      <c r="C59" s="1" t="n">
        <v>46030</v>
      </c>
      <c r="D59" t="inlineStr">
        <is>
          <t>NORRBOTTENS LÄN</t>
        </is>
      </c>
      <c r="E59" t="inlineStr">
        <is>
          <t>KIRUNA</t>
        </is>
      </c>
      <c r="F59" t="inlineStr">
        <is>
          <t>Allmännings- och besparingsskogar</t>
        </is>
      </c>
      <c r="G59" t="n">
        <v>3.7</v>
      </c>
      <c r="H59" t="n">
        <v>0</v>
      </c>
      <c r="I59" t="n">
        <v>0</v>
      </c>
      <c r="J59" t="n">
        <v>0</v>
      </c>
      <c r="K59" t="n">
        <v>0</v>
      </c>
      <c r="L59" t="n">
        <v>0</v>
      </c>
      <c r="M59" t="n">
        <v>0</v>
      </c>
      <c r="N59" t="n">
        <v>0</v>
      </c>
      <c r="O59" t="n">
        <v>0</v>
      </c>
      <c r="P59" t="n">
        <v>0</v>
      </c>
      <c r="Q59" t="n">
        <v>0</v>
      </c>
      <c r="R59" s="2" t="inlineStr"/>
    </row>
    <row r="60" ht="15" customHeight="1">
      <c r="A60" t="inlineStr">
        <is>
          <t>A 9069-2023</t>
        </is>
      </c>
      <c r="B60" s="1" t="n">
        <v>44979</v>
      </c>
      <c r="C60" s="1" t="n">
        <v>46030</v>
      </c>
      <c r="D60" t="inlineStr">
        <is>
          <t>NORRBOTTENS LÄN</t>
        </is>
      </c>
      <c r="E60" t="inlineStr">
        <is>
          <t>KIRUNA</t>
        </is>
      </c>
      <c r="F60" t="inlineStr">
        <is>
          <t>SCA</t>
        </is>
      </c>
      <c r="G60" t="n">
        <v>4</v>
      </c>
      <c r="H60" t="n">
        <v>0</v>
      </c>
      <c r="I60" t="n">
        <v>0</v>
      </c>
      <c r="J60" t="n">
        <v>0</v>
      </c>
      <c r="K60" t="n">
        <v>0</v>
      </c>
      <c r="L60" t="n">
        <v>0</v>
      </c>
      <c r="M60" t="n">
        <v>0</v>
      </c>
      <c r="N60" t="n">
        <v>0</v>
      </c>
      <c r="O60" t="n">
        <v>0</v>
      </c>
      <c r="P60" t="n">
        <v>0</v>
      </c>
      <c r="Q60" t="n">
        <v>0</v>
      </c>
      <c r="R60" s="2" t="inlineStr"/>
    </row>
    <row r="61" ht="15" customHeight="1">
      <c r="A61" t="inlineStr">
        <is>
          <t>A 20558-2025</t>
        </is>
      </c>
      <c r="B61" s="1" t="n">
        <v>45775</v>
      </c>
      <c r="C61" s="1" t="n">
        <v>46030</v>
      </c>
      <c r="D61" t="inlineStr">
        <is>
          <t>NORRBOTTENS LÄN</t>
        </is>
      </c>
      <c r="E61" t="inlineStr">
        <is>
          <t>KIRUNA</t>
        </is>
      </c>
      <c r="G61" t="n">
        <v>23.3</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46030</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46030</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18737-2023</t>
        </is>
      </c>
      <c r="B64" s="1" t="n">
        <v>45042</v>
      </c>
      <c r="C64" s="1" t="n">
        <v>46030</v>
      </c>
      <c r="D64" t="inlineStr">
        <is>
          <t>NORRBOTTENS LÄN</t>
        </is>
      </c>
      <c r="E64" t="inlineStr">
        <is>
          <t>KIRUNA</t>
        </is>
      </c>
      <c r="F64" t="inlineStr">
        <is>
          <t>Sveaskog</t>
        </is>
      </c>
      <c r="G64" t="n">
        <v>10.7</v>
      </c>
      <c r="H64" t="n">
        <v>0</v>
      </c>
      <c r="I64" t="n">
        <v>0</v>
      </c>
      <c r="J64" t="n">
        <v>0</v>
      </c>
      <c r="K64" t="n">
        <v>0</v>
      </c>
      <c r="L64" t="n">
        <v>0</v>
      </c>
      <c r="M64" t="n">
        <v>0</v>
      </c>
      <c r="N64" t="n">
        <v>0</v>
      </c>
      <c r="O64" t="n">
        <v>0</v>
      </c>
      <c r="P64" t="n">
        <v>0</v>
      </c>
      <c r="Q64" t="n">
        <v>0</v>
      </c>
      <c r="R64" s="2" t="inlineStr"/>
    </row>
    <row r="65" ht="15" customHeight="1">
      <c r="A65" t="inlineStr">
        <is>
          <t>A 8350-2025</t>
        </is>
      </c>
      <c r="B65" s="1" t="n">
        <v>45708</v>
      </c>
      <c r="C65" s="1" t="n">
        <v>46030</v>
      </c>
      <c r="D65" t="inlineStr">
        <is>
          <t>NORRBOTTENS LÄN</t>
        </is>
      </c>
      <c r="E65" t="inlineStr">
        <is>
          <t>KIRUNA</t>
        </is>
      </c>
      <c r="F65" t="inlineStr">
        <is>
          <t>Övriga statliga verk och myndigheter</t>
        </is>
      </c>
      <c r="G65" t="n">
        <v>0.8</v>
      </c>
      <c r="H65" t="n">
        <v>0</v>
      </c>
      <c r="I65" t="n">
        <v>0</v>
      </c>
      <c r="J65" t="n">
        <v>0</v>
      </c>
      <c r="K65" t="n">
        <v>0</v>
      </c>
      <c r="L65" t="n">
        <v>0</v>
      </c>
      <c r="M65" t="n">
        <v>0</v>
      </c>
      <c r="N65" t="n">
        <v>0</v>
      </c>
      <c r="O65" t="n">
        <v>0</v>
      </c>
      <c r="P65" t="n">
        <v>0</v>
      </c>
      <c r="Q65" t="n">
        <v>0</v>
      </c>
      <c r="R65" s="2" t="inlineStr"/>
    </row>
    <row r="66" ht="15" customHeight="1">
      <c r="A66" t="inlineStr">
        <is>
          <t>A 22491-2024</t>
        </is>
      </c>
      <c r="B66" s="1" t="n">
        <v>45447</v>
      </c>
      <c r="C66" s="1" t="n">
        <v>46030</v>
      </c>
      <c r="D66" t="inlineStr">
        <is>
          <t>NORRBOTTENS LÄN</t>
        </is>
      </c>
      <c r="E66" t="inlineStr">
        <is>
          <t>KIRUNA</t>
        </is>
      </c>
      <c r="G66" t="n">
        <v>9</v>
      </c>
      <c r="H66" t="n">
        <v>0</v>
      </c>
      <c r="I66" t="n">
        <v>0</v>
      </c>
      <c r="J66" t="n">
        <v>0</v>
      </c>
      <c r="K66" t="n">
        <v>0</v>
      </c>
      <c r="L66" t="n">
        <v>0</v>
      </c>
      <c r="M66" t="n">
        <v>0</v>
      </c>
      <c r="N66" t="n">
        <v>0</v>
      </c>
      <c r="O66" t="n">
        <v>0</v>
      </c>
      <c r="P66" t="n">
        <v>0</v>
      </c>
      <c r="Q66" t="n">
        <v>0</v>
      </c>
      <c r="R66" s="2" t="inlineStr"/>
    </row>
    <row r="67" ht="15" customHeight="1">
      <c r="A67" t="inlineStr">
        <is>
          <t>A 22504-2024</t>
        </is>
      </c>
      <c r="B67" s="1" t="n">
        <v>45447</v>
      </c>
      <c r="C67" s="1" t="n">
        <v>46030</v>
      </c>
      <c r="D67" t="inlineStr">
        <is>
          <t>NORRBOTTENS LÄN</t>
        </is>
      </c>
      <c r="E67" t="inlineStr">
        <is>
          <t>KIRUNA</t>
        </is>
      </c>
      <c r="G67" t="n">
        <v>15.6</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46030</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46030</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38577-2024</t>
        </is>
      </c>
      <c r="B70" s="1" t="n">
        <v>45546</v>
      </c>
      <c r="C70" s="1" t="n">
        <v>46030</v>
      </c>
      <c r="D70" t="inlineStr">
        <is>
          <t>NORRBOTTENS LÄN</t>
        </is>
      </c>
      <c r="E70" t="inlineStr">
        <is>
          <t>KIRUNA</t>
        </is>
      </c>
      <c r="G70" t="n">
        <v>39.8</v>
      </c>
      <c r="H70" t="n">
        <v>0</v>
      </c>
      <c r="I70" t="n">
        <v>0</v>
      </c>
      <c r="J70" t="n">
        <v>0</v>
      </c>
      <c r="K70" t="n">
        <v>0</v>
      </c>
      <c r="L70" t="n">
        <v>0</v>
      </c>
      <c r="M70" t="n">
        <v>0</v>
      </c>
      <c r="N70" t="n">
        <v>0</v>
      </c>
      <c r="O70" t="n">
        <v>0</v>
      </c>
      <c r="P70" t="n">
        <v>0</v>
      </c>
      <c r="Q70" t="n">
        <v>0</v>
      </c>
      <c r="R70" s="2" t="inlineStr"/>
    </row>
    <row r="71" ht="15" customHeight="1">
      <c r="A71" t="inlineStr">
        <is>
          <t>A 5842-2023</t>
        </is>
      </c>
      <c r="B71" s="1" t="n">
        <v>44958</v>
      </c>
      <c r="C71" s="1" t="n">
        <v>46030</v>
      </c>
      <c r="D71" t="inlineStr">
        <is>
          <t>NORRBOTTENS LÄN</t>
        </is>
      </c>
      <c r="E71" t="inlineStr">
        <is>
          <t>KIRUNA</t>
        </is>
      </c>
      <c r="G71" t="n">
        <v>2.9</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46030</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46030</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5476-2024</t>
        </is>
      </c>
      <c r="B74" s="1" t="n">
        <v>45333</v>
      </c>
      <c r="C74" s="1" t="n">
        <v>46030</v>
      </c>
      <c r="D74" t="inlineStr">
        <is>
          <t>NORRBOTTENS LÄN</t>
        </is>
      </c>
      <c r="E74" t="inlineStr">
        <is>
          <t>KIRUNA</t>
        </is>
      </c>
      <c r="G74" t="n">
        <v>1.8</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46030</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46030</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46030</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46030</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46030</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46030</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c r="A81" t="inlineStr">
        <is>
          <t>A 20770-2025</t>
        </is>
      </c>
      <c r="B81" s="1" t="n">
        <v>45776</v>
      </c>
      <c r="C81" s="1" t="n">
        <v>46030</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2026-01-08T10:47:38Z</dcterms:created>
  <dcterms:modified xmlns:dcterms="http://purl.org/dc/terms/" xmlns:xsi="http://www.w3.org/2001/XMLSchema-instance" xsi:type="dcterms:W3CDTF">2026-01-08T10:47:38Z</dcterms:modified>
</cp:coreProperties>
</file>