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45699</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45699</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45699</v>
      </c>
      <c r="D4" t="inlineStr">
        <is>
          <t>NORRBOTTENS LÄN</t>
        </is>
      </c>
      <c r="E4" t="inlineStr">
        <is>
          <t>KIRUNA</t>
        </is>
      </c>
      <c r="G4" t="n">
        <v>115.5</v>
      </c>
      <c r="H4" t="n">
        <v>21</v>
      </c>
      <c r="I4" t="n">
        <v>0</v>
      </c>
      <c r="J4" t="n">
        <v>10</v>
      </c>
      <c r="K4" t="n">
        <v>8</v>
      </c>
      <c r="L4" t="n">
        <v>1</v>
      </c>
      <c r="M4" t="n">
        <v>0</v>
      </c>
      <c r="N4" t="n">
        <v>0</v>
      </c>
      <c r="O4" t="n">
        <v>19</v>
      </c>
      <c r="P4" t="n">
        <v>9</v>
      </c>
      <c r="Q4" t="n">
        <v>22</v>
      </c>
      <c r="R4" s="2" t="inlineStr">
        <is>
          <t>Grönfink
Bläsand
Brushane
Gråtrut
Kricka
Norna
Stjärtand
Tallbit
Tofsvipa
Drillsnäppa
Fiskmås
Havsörn
Kalkkärrsgrynsnäcka
Skrattmås
Smålom
Stenfalk
Svartvit flugsnappare
Talltita
Utter
Gråkråka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45699</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45699</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45699</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45699</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45699</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45699</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45699</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45699</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45699</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45699</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45699</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45699</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45699</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45699</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45699</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45699</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45699</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45699</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45699</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45699</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45699</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45699</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45699</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22812-2019</t>
        </is>
      </c>
      <c r="B28" s="1" t="n">
        <v>43590</v>
      </c>
      <c r="C28" s="1" t="n">
        <v>45699</v>
      </c>
      <c r="D28" t="inlineStr">
        <is>
          <t>NORRBOTTENS LÄN</t>
        </is>
      </c>
      <c r="E28" t="inlineStr">
        <is>
          <t>KIRUNA</t>
        </is>
      </c>
      <c r="G28" t="n">
        <v>22.6</v>
      </c>
      <c r="H28" t="n">
        <v>0</v>
      </c>
      <c r="I28" t="n">
        <v>0</v>
      </c>
      <c r="J28" t="n">
        <v>1</v>
      </c>
      <c r="K28" t="n">
        <v>0</v>
      </c>
      <c r="L28" t="n">
        <v>0</v>
      </c>
      <c r="M28" t="n">
        <v>0</v>
      </c>
      <c r="N28" t="n">
        <v>0</v>
      </c>
      <c r="O28" t="n">
        <v>1</v>
      </c>
      <c r="P28" t="n">
        <v>0</v>
      </c>
      <c r="Q28" t="n">
        <v>1</v>
      </c>
      <c r="R28" s="2" t="inlineStr">
        <is>
          <t>Garnlav</t>
        </is>
      </c>
      <c r="S28">
        <f>HYPERLINK("https://klasma.github.io/Logging_2584/artfynd/A 22812-2019 artfynd.xlsx", "A 22812-2019")</f>
        <v/>
      </c>
      <c r="T28">
        <f>HYPERLINK("https://klasma.github.io/Logging_2584/kartor/A 22812-2019 karta.png", "A 22812-2019")</f>
        <v/>
      </c>
      <c r="V28">
        <f>HYPERLINK("https://klasma.github.io/Logging_2584/klagomål/A 22812-2019 FSC-klagomål.docx", "A 22812-2019")</f>
        <v/>
      </c>
      <c r="W28">
        <f>HYPERLINK("https://klasma.github.io/Logging_2584/klagomålsmail/A 22812-2019 FSC-klagomål mail.docx", "A 22812-2019")</f>
        <v/>
      </c>
      <c r="X28">
        <f>HYPERLINK("https://klasma.github.io/Logging_2584/tillsyn/A 22812-2019 tillsynsbegäran.docx", "A 22812-2019")</f>
        <v/>
      </c>
      <c r="Y28">
        <f>HYPERLINK("https://klasma.github.io/Logging_2584/tillsynsmail/A 22812-2019 tillsynsbegäran mail.docx", "A 22812-2019")</f>
        <v/>
      </c>
    </row>
    <row r="29" ht="15" customHeight="1">
      <c r="A29" t="inlineStr">
        <is>
          <t>A 6878-2021</t>
        </is>
      </c>
      <c r="B29" s="1" t="n">
        <v>44237</v>
      </c>
      <c r="C29" s="1" t="n">
        <v>45699</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45699</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45699</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45699</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45699</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45699</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45699</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45699</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45699</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45699</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45699</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45699</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45699</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45699</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45699</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45699</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45699</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45699</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45699</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45699</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45699</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45699</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45699</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45699</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45699</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45699</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45699</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45699</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45699</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45699</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45699</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45699</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45699</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45699</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45699</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45699</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45699</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45699</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45699</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45699</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45699</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45699</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45699</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45699</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45699</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45699</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45699</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45699</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45699</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45699</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45699</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45699</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45699</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45699</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45699</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45699</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45699</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45699</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45699</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45699</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45699</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45699</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45699</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45699</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45699</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45699</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45699</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45699</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45699</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45699</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45699</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45699</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45699</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45699</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45699</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45699</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45699</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45699</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45699</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45699</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45699</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45699</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45699</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45699</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45699</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45699</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45699</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ht="15" customHeight="1">
      <c r="A116" t="inlineStr">
        <is>
          <t>A 38577-2024</t>
        </is>
      </c>
      <c r="B116" s="1" t="n">
        <v>45546</v>
      </c>
      <c r="C116" s="1" t="n">
        <v>45699</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row r="117" ht="15" customHeight="1">
      <c r="A117" t="inlineStr">
        <is>
          <t>A 47730-2024</t>
        </is>
      </c>
      <c r="B117" s="1" t="n">
        <v>45588</v>
      </c>
      <c r="C117" s="1" t="n">
        <v>45699</v>
      </c>
      <c r="D117" t="inlineStr">
        <is>
          <t>NORRBOTTENS LÄN</t>
        </is>
      </c>
      <c r="E117" t="inlineStr">
        <is>
          <t>KIRUNA</t>
        </is>
      </c>
      <c r="F117" t="inlineStr">
        <is>
          <t>Allmännings- och besparingsskogar</t>
        </is>
      </c>
      <c r="G117" t="n">
        <v>3.7</v>
      </c>
      <c r="H117" t="n">
        <v>0</v>
      </c>
      <c r="I117" t="n">
        <v>0</v>
      </c>
      <c r="J117" t="n">
        <v>0</v>
      </c>
      <c r="K117" t="n">
        <v>0</v>
      </c>
      <c r="L117" t="n">
        <v>0</v>
      </c>
      <c r="M117" t="n">
        <v>0</v>
      </c>
      <c r="N117" t="n">
        <v>0</v>
      </c>
      <c r="O117" t="n">
        <v>0</v>
      </c>
      <c r="P117" t="n">
        <v>0</v>
      </c>
      <c r="Q117" t="n">
        <v>0</v>
      </c>
      <c r="R117" s="2" t="inlineStr"/>
    </row>
    <row r="118" ht="15" customHeight="1">
      <c r="A118" t="inlineStr">
        <is>
          <t>A 49704-2024</t>
        </is>
      </c>
      <c r="B118" s="1" t="n">
        <v>45596</v>
      </c>
      <c r="C118" s="1" t="n">
        <v>45699</v>
      </c>
      <c r="D118" t="inlineStr">
        <is>
          <t>NORRBOTTENS LÄN</t>
        </is>
      </c>
      <c r="E118" t="inlineStr">
        <is>
          <t>KIRUNA</t>
        </is>
      </c>
      <c r="G118" t="n">
        <v>17.4</v>
      </c>
      <c r="H118" t="n">
        <v>0</v>
      </c>
      <c r="I118" t="n">
        <v>0</v>
      </c>
      <c r="J118" t="n">
        <v>0</v>
      </c>
      <c r="K118" t="n">
        <v>0</v>
      </c>
      <c r="L118" t="n">
        <v>0</v>
      </c>
      <c r="M118" t="n">
        <v>0</v>
      </c>
      <c r="N118" t="n">
        <v>0</v>
      </c>
      <c r="O118" t="n">
        <v>0</v>
      </c>
      <c r="P118" t="n">
        <v>0</v>
      </c>
      <c r="Q118" t="n">
        <v>0</v>
      </c>
      <c r="R118" s="2" t="inlineStr"/>
    </row>
    <row r="119" ht="15" customHeight="1">
      <c r="A119" t="inlineStr">
        <is>
          <t>A 51961-2024</t>
        </is>
      </c>
      <c r="B119" s="1" t="n">
        <v>45607</v>
      </c>
      <c r="C119" s="1" t="n">
        <v>45699</v>
      </c>
      <c r="D119" t="inlineStr">
        <is>
          <t>NORRBOTTENS LÄN</t>
        </is>
      </c>
      <c r="E119" t="inlineStr">
        <is>
          <t>KIRUNA</t>
        </is>
      </c>
      <c r="G119" t="n">
        <v>3.8</v>
      </c>
      <c r="H119" t="n">
        <v>0</v>
      </c>
      <c r="I119" t="n">
        <v>0</v>
      </c>
      <c r="J119" t="n">
        <v>0</v>
      </c>
      <c r="K119" t="n">
        <v>0</v>
      </c>
      <c r="L119" t="n">
        <v>0</v>
      </c>
      <c r="M119" t="n">
        <v>0</v>
      </c>
      <c r="N119" t="n">
        <v>0</v>
      </c>
      <c r="O119" t="n">
        <v>0</v>
      </c>
      <c r="P119" t="n">
        <v>0</v>
      </c>
      <c r="Q119" t="n">
        <v>0</v>
      </c>
      <c r="R119" s="2" t="inlineStr"/>
    </row>
    <row r="120" ht="15" customHeight="1">
      <c r="A120" t="inlineStr">
        <is>
          <t>A 58998-2024</t>
        </is>
      </c>
      <c r="B120" s="1" t="n">
        <v>45636</v>
      </c>
      <c r="C120" s="1" t="n">
        <v>45699</v>
      </c>
      <c r="D120" t="inlineStr">
        <is>
          <t>NORRBOTTENS LÄN</t>
        </is>
      </c>
      <c r="E120" t="inlineStr">
        <is>
          <t>KIRUNA</t>
        </is>
      </c>
      <c r="G120" t="n">
        <v>6.7</v>
      </c>
      <c r="H120" t="n">
        <v>0</v>
      </c>
      <c r="I120" t="n">
        <v>0</v>
      </c>
      <c r="J120" t="n">
        <v>0</v>
      </c>
      <c r="K120" t="n">
        <v>0</v>
      </c>
      <c r="L120" t="n">
        <v>0</v>
      </c>
      <c r="M120" t="n">
        <v>0</v>
      </c>
      <c r="N120" t="n">
        <v>0</v>
      </c>
      <c r="O120" t="n">
        <v>0</v>
      </c>
      <c r="P120" t="n">
        <v>0</v>
      </c>
      <c r="Q120" t="n">
        <v>0</v>
      </c>
      <c r="R120" s="2" t="inlineStr"/>
    </row>
    <row r="121" ht="15" customHeight="1">
      <c r="A121" t="inlineStr">
        <is>
          <t>A 59838-2024</t>
        </is>
      </c>
      <c r="B121" s="1" t="n">
        <v>45639</v>
      </c>
      <c r="C121" s="1" t="n">
        <v>45699</v>
      </c>
      <c r="D121" t="inlineStr">
        <is>
          <t>NORRBOTTENS LÄN</t>
        </is>
      </c>
      <c r="E121" t="inlineStr">
        <is>
          <t>KIRUNA</t>
        </is>
      </c>
      <c r="G121" t="n">
        <v>37.1</v>
      </c>
      <c r="H121" t="n">
        <v>0</v>
      </c>
      <c r="I121" t="n">
        <v>0</v>
      </c>
      <c r="J121" t="n">
        <v>0</v>
      </c>
      <c r="K121" t="n">
        <v>0</v>
      </c>
      <c r="L121" t="n">
        <v>0</v>
      </c>
      <c r="M121" t="n">
        <v>0</v>
      </c>
      <c r="N121" t="n">
        <v>0</v>
      </c>
      <c r="O121" t="n">
        <v>0</v>
      </c>
      <c r="P121" t="n">
        <v>0</v>
      </c>
      <c r="Q121" t="n">
        <v>0</v>
      </c>
      <c r="R121" s="2" t="inlineStr"/>
    </row>
    <row r="122">
      <c r="A122" t="inlineStr">
        <is>
          <t>A 61066-2024</t>
        </is>
      </c>
      <c r="B122" s="1" t="n">
        <v>45645</v>
      </c>
      <c r="C122" s="1" t="n">
        <v>45699</v>
      </c>
      <c r="D122" t="inlineStr">
        <is>
          <t>NORRBOTTENS LÄN</t>
        </is>
      </c>
      <c r="E122" t="inlineStr">
        <is>
          <t>KIRUNA</t>
        </is>
      </c>
      <c r="G122" t="n">
        <v>4.5</v>
      </c>
      <c r="H122" t="n">
        <v>0</v>
      </c>
      <c r="I122" t="n">
        <v>0</v>
      </c>
      <c r="J122" t="n">
        <v>0</v>
      </c>
      <c r="K122" t="n">
        <v>0</v>
      </c>
      <c r="L122" t="n">
        <v>0</v>
      </c>
      <c r="M122" t="n">
        <v>0</v>
      </c>
      <c r="N122" t="n">
        <v>0</v>
      </c>
      <c r="O122" t="n">
        <v>0</v>
      </c>
      <c r="P122" t="n">
        <v>0</v>
      </c>
      <c r="Q122" t="n">
        <v>0</v>
      </c>
      <c r="R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2025-02-11T17:05:52Z</dcterms:created>
  <dcterms:modified xmlns:dcterms="http://purl.org/dc/terms/" xmlns:xsi="http://www.w3.org/2001/XMLSchema-instance" xsi:type="dcterms:W3CDTF">2025-02-11T17:05:52Z</dcterms:modified>
</cp:coreProperties>
</file>