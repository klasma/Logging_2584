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46314</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46314</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46314</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46314</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46314</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46314</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46314</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46314</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46314</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46314</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46314</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46314</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46314</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46314</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46314</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46314</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46314</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46314</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46314</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46314</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46314</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46314</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46314</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46314</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4367-2024</t>
        </is>
      </c>
      <c r="B26" t="inlineStr">
        <is>
          <t>avverkningsanmälan</t>
        </is>
      </c>
      <c r="C26" t="inlineStr">
        <is>
          <t>Föryngringsavverkning</t>
        </is>
      </c>
      <c r="D26" s="1" t="n">
        <v>45326</v>
      </c>
      <c r="E26" s="1" t="n">
        <v>46314</v>
      </c>
      <c r="F26" t="inlineStr">
        <is>
          <t>NORRBOTTENS LÄN</t>
        </is>
      </c>
      <c r="G26" t="inlineStr">
        <is>
          <t>KIRUNA</t>
        </is>
      </c>
      <c r="I26" t="n">
        <v>7.5</v>
      </c>
      <c r="J26" t="n">
        <v>0</v>
      </c>
      <c r="K26" t="n">
        <v>0</v>
      </c>
      <c r="L26" t="n">
        <v>1</v>
      </c>
      <c r="M26" t="n">
        <v>0</v>
      </c>
      <c r="N26" t="n">
        <v>0</v>
      </c>
      <c r="O26" t="n">
        <v>0</v>
      </c>
      <c r="P26" t="n">
        <v>0</v>
      </c>
      <c r="Q26" t="n">
        <v>1</v>
      </c>
      <c r="R26" t="n">
        <v>0</v>
      </c>
      <c r="S26" t="n">
        <v>1</v>
      </c>
      <c r="T26" t="n">
        <v>1</v>
      </c>
      <c r="U26" t="n">
        <v>1</v>
      </c>
      <c r="V26" s="2" t="inlineStr">
        <is>
          <t>Tallticka</t>
        </is>
      </c>
      <c r="W26">
        <f>HYPERLINK("https://klasma.github.io/Logging_2584/artfynd/A 4367-2024 artfynd.xlsx", "A 4367-2024")</f>
        <v/>
      </c>
      <c r="X26">
        <f>HYPERLINK("https://klasma.github.io/Logging_2584/kartor/A 4367-2024 karta.png", "A 4367-2024")</f>
        <v/>
      </c>
      <c r="Y26">
        <f>HYPERLINK("https://klasma.github.io/Logging_2584/kartor_geotiff/A 4367-2024 georefererad karta.tif", "A 4367-2024")</f>
        <v/>
      </c>
      <c r="AA26">
        <f>HYPERLINK("https://klasma.github.io/Logging_2584/klagomål/A 4367-2024 FSC-klagomål.docx", "A 4367-2024")</f>
        <v/>
      </c>
      <c r="AB26">
        <f>HYPERLINK("https://klasma.github.io/Logging_2584/klagomålsmail/A 4367-2024 FSC-klagomål mail.docx", "A 4367-2024")</f>
        <v/>
      </c>
      <c r="AC26">
        <f>HYPERLINK("https://klasma.github.io/Logging_2584/tillsyn/A 4367-2024 tillsynsbegäran.docx", "A 4367-2024")</f>
        <v/>
      </c>
      <c r="AD26">
        <f>HYPERLINK("https://klasma.github.io/Logging_2584/tillsynsmail/A 4367-2024 tillsynsbegäran mail.docx", "A 4367-2024")</f>
        <v/>
      </c>
    </row>
    <row r="27" ht="15" customHeight="1">
      <c r="A27" t="inlineStr">
        <is>
          <t>A 16024-2024</t>
        </is>
      </c>
      <c r="B27" t="inlineStr">
        <is>
          <t>avverkningsanmälan</t>
        </is>
      </c>
      <c r="C27" t="inlineStr">
        <is>
          <t>Föryngringsavverkning</t>
        </is>
      </c>
      <c r="D27" s="1" t="n">
        <v>45405</v>
      </c>
      <c r="E27" s="1" t="n">
        <v>46314</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2660-2026</t>
        </is>
      </c>
      <c r="B28" t="inlineStr">
        <is>
          <t>avverkningsanmälan</t>
        </is>
      </c>
      <c r="C28" t="inlineStr">
        <is>
          <t>Föryngringsavverkning</t>
        </is>
      </c>
      <c r="D28" s="1" t="n">
        <v>46037</v>
      </c>
      <c r="E28" s="1" t="n">
        <v>46314</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46314</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61066-2024</t>
        </is>
      </c>
      <c r="B30" t="inlineStr">
        <is>
          <t>avverkningsanmälan</t>
        </is>
      </c>
      <c r="C30" t="inlineStr">
        <is>
          <t>Föryngringsavverkning</t>
        </is>
      </c>
      <c r="D30" s="1" t="n">
        <v>45645</v>
      </c>
      <c r="E30" s="1" t="n">
        <v>46314</v>
      </c>
      <c r="F30" t="inlineStr">
        <is>
          <t>NORRBOTTENS LÄN</t>
        </is>
      </c>
      <c r="G30" t="inlineStr">
        <is>
          <t>KIRUNA</t>
        </is>
      </c>
      <c r="I30" t="n">
        <v>4.5</v>
      </c>
      <c r="J30" t="n">
        <v>1</v>
      </c>
      <c r="K30" t="n">
        <v>0</v>
      </c>
      <c r="L30" t="n">
        <v>0</v>
      </c>
      <c r="M30" t="n">
        <v>0</v>
      </c>
      <c r="N30" t="n">
        <v>0</v>
      </c>
      <c r="O30" t="n">
        <v>0</v>
      </c>
      <c r="P30" t="n">
        <v>0</v>
      </c>
      <c r="Q30" t="n">
        <v>0</v>
      </c>
      <c r="R30" t="n">
        <v>0</v>
      </c>
      <c r="S30" t="n">
        <v>1</v>
      </c>
      <c r="T30" t="n">
        <v>1</v>
      </c>
      <c r="U30" t="n">
        <v>1</v>
      </c>
      <c r="V30" s="2" t="inlineStr">
        <is>
          <t>Tjäder</t>
        </is>
      </c>
      <c r="W30">
        <f>HYPERLINK("https://klasma.github.io/Logging_2584/artfynd/A 61066-2024 artfynd.xlsx", "A 61066-2024")</f>
        <v/>
      </c>
      <c r="X30">
        <f>HYPERLINK("https://klasma.github.io/Logging_2584/kartor/A 61066-2024 karta.png", "A 61066-2024")</f>
        <v/>
      </c>
      <c r="Y30">
        <f>HYPERLINK("https://klasma.github.io/Logging_2584/kartor_geotiff/A 61066-2024 georefererad karta.tif", "A 61066-2024")</f>
        <v/>
      </c>
      <c r="AA30">
        <f>HYPERLINK("https://klasma.github.io/Logging_2584/klagomål/A 61066-2024 FSC-klagomål.docx", "A 61066-2024")</f>
        <v/>
      </c>
      <c r="AB30">
        <f>HYPERLINK("https://klasma.github.io/Logging_2584/klagomålsmail/A 61066-2024 FSC-klagomål mail.docx", "A 61066-2024")</f>
        <v/>
      </c>
      <c r="AC30">
        <f>HYPERLINK("https://klasma.github.io/Logging_2584/tillsyn/A 61066-2024 tillsynsbegäran.docx", "A 61066-2024")</f>
        <v/>
      </c>
      <c r="AD30">
        <f>HYPERLINK("https://klasma.github.io/Logging_2584/tillsynsmail/A 61066-2024 tillsynsbegäran mail.docx", "A 61066-2024")</f>
        <v/>
      </c>
      <c r="AE30">
        <f>HYPERLINK("https://klasma.github.io/Logging_2584/fåglar/A 61066-2024 prioriterade fågelarter.docx", "A 61066-2024")</f>
        <v/>
      </c>
    </row>
    <row r="31" ht="15" customHeight="1">
      <c r="A31" t="inlineStr">
        <is>
          <t>A 60064-2023</t>
        </is>
      </c>
      <c r="B31" t="inlineStr">
        <is>
          <t>avverkningsanmälan</t>
        </is>
      </c>
      <c r="C31" t="inlineStr">
        <is>
          <t>Föryngringsavverkning</t>
        </is>
      </c>
      <c r="D31" s="1" t="n">
        <v>45258</v>
      </c>
      <c r="E31" s="1" t="n">
        <v>46314</v>
      </c>
      <c r="F31" t="inlineStr">
        <is>
          <t>NORRBOTTENS LÄN</t>
        </is>
      </c>
      <c r="G31" t="inlineStr">
        <is>
          <t>KIRUNA</t>
        </is>
      </c>
      <c r="I31" t="n">
        <v>19.8</v>
      </c>
      <c r="J31" t="n">
        <v>1</v>
      </c>
      <c r="K31" t="n">
        <v>0</v>
      </c>
      <c r="L31" t="n">
        <v>0</v>
      </c>
      <c r="M31" t="n">
        <v>0</v>
      </c>
      <c r="N31" t="n">
        <v>0</v>
      </c>
      <c r="O31" t="n">
        <v>0</v>
      </c>
      <c r="P31" t="n">
        <v>0</v>
      </c>
      <c r="Q31" t="n">
        <v>0</v>
      </c>
      <c r="R31" t="n">
        <v>0</v>
      </c>
      <c r="S31" t="n">
        <v>1</v>
      </c>
      <c r="T31" t="n">
        <v>2</v>
      </c>
      <c r="U31" t="n">
        <v>2</v>
      </c>
      <c r="V31" s="2" t="inlineStr">
        <is>
          <t>Tjäder</t>
        </is>
      </c>
      <c r="W31">
        <f>HYPERLINK("https://klasma.github.io/Logging_2584/artfynd/A 60064-2023 artfynd.xlsx", "A 60064-2023")</f>
        <v/>
      </c>
      <c r="X31">
        <f>HYPERLINK("https://klasma.github.io/Logging_2584/kartor/A 60064-2023 karta.png", "A 60064-2023")</f>
        <v/>
      </c>
      <c r="Y31">
        <f>HYPERLINK("https://klasma.github.io/Logging_2584/kartor_geotiff/A 60064-2023 georefererad karta.tif", "A 60064-2023")</f>
        <v/>
      </c>
      <c r="AA31">
        <f>HYPERLINK("https://klasma.github.io/Logging_2584/klagomål/A 60064-2023 FSC-klagomål.docx", "A 60064-2023")</f>
        <v/>
      </c>
      <c r="AB31">
        <f>HYPERLINK("https://klasma.github.io/Logging_2584/klagomålsmail/A 60064-2023 FSC-klagomål mail.docx", "A 60064-2023")</f>
        <v/>
      </c>
      <c r="AC31">
        <f>HYPERLINK("https://klasma.github.io/Logging_2584/tillsyn/A 60064-2023 tillsynsbegäran.docx", "A 60064-2023")</f>
        <v/>
      </c>
      <c r="AD31">
        <f>HYPERLINK("https://klasma.github.io/Logging_2584/tillsynsmail/A 60064-2023 tillsynsbegäran mail.docx", "A 60064-2023")</f>
        <v/>
      </c>
      <c r="AE31">
        <f>HYPERLINK("https://klasma.github.io/Logging_2584/fåglar/A 60064-2023 prioriterade fågelarter.docx", "A 60064-2023")</f>
        <v/>
      </c>
    </row>
    <row r="32" ht="15" customHeight="1">
      <c r="A32" t="inlineStr">
        <is>
          <t>A 45205-2022</t>
        </is>
      </c>
      <c r="B32" t="inlineStr">
        <is>
          <t>avverkningsanmälan</t>
        </is>
      </c>
      <c r="C32" t="inlineStr">
        <is>
          <t>Avverkning för annat ändamål</t>
        </is>
      </c>
      <c r="D32" s="1" t="n">
        <v>44840</v>
      </c>
      <c r="E32" s="1" t="n">
        <v>46314</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46314</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46314</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46314</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39247-2023</t>
        </is>
      </c>
      <c r="B36" t="inlineStr">
        <is>
          <t>avverkningsanmälan</t>
        </is>
      </c>
      <c r="C36" t="inlineStr">
        <is>
          <t>Föryngringsavverkning</t>
        </is>
      </c>
      <c r="D36" s="1" t="n">
        <v>45162</v>
      </c>
      <c r="E36" s="1" t="n">
        <v>46314</v>
      </c>
      <c r="F36" t="inlineStr">
        <is>
          <t>NORRBOTTENS LÄN</t>
        </is>
      </c>
      <c r="G36" t="inlineStr">
        <is>
          <t>KIRUNA</t>
        </is>
      </c>
      <c r="I36" t="n">
        <v>11.7</v>
      </c>
      <c r="J36" t="n">
        <v>0</v>
      </c>
      <c r="K36" t="n">
        <v>0</v>
      </c>
      <c r="L36" t="n">
        <v>0</v>
      </c>
      <c r="M36" t="n">
        <v>0</v>
      </c>
      <c r="N36" t="n">
        <v>0</v>
      </c>
      <c r="O36" t="n">
        <v>0</v>
      </c>
      <c r="P36" t="n">
        <v>0</v>
      </c>
      <c r="Q36" t="n">
        <v>0</v>
      </c>
      <c r="R36" t="n">
        <v>0</v>
      </c>
      <c r="S36" t="n">
        <v>0</v>
      </c>
      <c r="T36" t="n">
        <v>0</v>
      </c>
      <c r="U36" t="n">
        <v>0</v>
      </c>
      <c r="V36" s="2" t="inlineStr"/>
    </row>
    <row r="37" ht="15" customHeight="1">
      <c r="A37" t="inlineStr">
        <is>
          <t>A 62460-2022</t>
        </is>
      </c>
      <c r="B37" t="inlineStr">
        <is>
          <t>avverkningsanmälan</t>
        </is>
      </c>
      <c r="C37" t="inlineStr">
        <is>
          <t>Föryngringsavverkning</t>
        </is>
      </c>
      <c r="D37" s="1" t="n">
        <v>44916</v>
      </c>
      <c r="E37" s="1" t="n">
        <v>46314</v>
      </c>
      <c r="F37" t="inlineStr">
        <is>
          <t>NORRBOTTENS LÄN</t>
        </is>
      </c>
      <c r="G37" t="inlineStr">
        <is>
          <t>KIRUNA</t>
        </is>
      </c>
      <c r="I37" t="n">
        <v>13.4</v>
      </c>
      <c r="J37" t="n">
        <v>0</v>
      </c>
      <c r="K37" t="n">
        <v>0</v>
      </c>
      <c r="L37" t="n">
        <v>0</v>
      </c>
      <c r="M37" t="n">
        <v>0</v>
      </c>
      <c r="N37" t="n">
        <v>0</v>
      </c>
      <c r="O37" t="n">
        <v>0</v>
      </c>
      <c r="P37" t="n">
        <v>0</v>
      </c>
      <c r="Q37" t="n">
        <v>0</v>
      </c>
      <c r="R37" t="n">
        <v>0</v>
      </c>
      <c r="S37" t="n">
        <v>0</v>
      </c>
      <c r="T37" t="n">
        <v>0</v>
      </c>
      <c r="U37" t="n">
        <v>0</v>
      </c>
      <c r="V37" s="2" t="inlineStr"/>
    </row>
    <row r="38" ht="15" customHeight="1">
      <c r="A38" t="inlineStr">
        <is>
          <t>A 36939-2022</t>
        </is>
      </c>
      <c r="B38" t="inlineStr">
        <is>
          <t>avverkningsanmälan</t>
        </is>
      </c>
      <c r="C38" t="inlineStr">
        <is>
          <t>Avverkning för annat ändamål</t>
        </is>
      </c>
      <c r="D38" s="1" t="n">
        <v>44805</v>
      </c>
      <c r="E38" s="1" t="n">
        <v>46314</v>
      </c>
      <c r="F38" t="inlineStr">
        <is>
          <t>NORRBOTTENS LÄN</t>
        </is>
      </c>
      <c r="G38" t="inlineStr">
        <is>
          <t>KIRUNA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5533-2024</t>
        </is>
      </c>
      <c r="B39" t="inlineStr">
        <is>
          <t>avverkningsanmälan</t>
        </is>
      </c>
      <c r="C39" t="inlineStr">
        <is>
          <t>Avverkning för annat ändamål</t>
        </is>
      </c>
      <c r="D39" s="1" t="n">
        <v>45334</v>
      </c>
      <c r="E39" s="1" t="n">
        <v>46314</v>
      </c>
      <c r="F39" t="inlineStr">
        <is>
          <t>NORRBOTTENS LÄN</t>
        </is>
      </c>
      <c r="G39" t="inlineStr">
        <is>
          <t>KIRUNA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9605-2024</t>
        </is>
      </c>
      <c r="B40" t="inlineStr">
        <is>
          <t>avverkningsanmälan</t>
        </is>
      </c>
      <c r="C40" t="inlineStr">
        <is>
          <t>Föryngringsavverkning</t>
        </is>
      </c>
      <c r="D40" s="1" t="n">
        <v>45361</v>
      </c>
      <c r="E40" s="1" t="n">
        <v>46314</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5411-2024</t>
        </is>
      </c>
      <c r="B41" t="inlineStr">
        <is>
          <t>avverkningsanmälan</t>
        </is>
      </c>
      <c r="C41" t="inlineStr">
        <is>
          <t>Föryngringsavverkning</t>
        </is>
      </c>
      <c r="D41" s="1" t="n">
        <v>45331</v>
      </c>
      <c r="E41" s="1" t="n">
        <v>46314</v>
      </c>
      <c r="F41" t="inlineStr">
        <is>
          <t>NORRBOTTENS LÄN</t>
        </is>
      </c>
      <c r="G41" t="inlineStr">
        <is>
          <t>KIRUNA</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28707-2022</t>
        </is>
      </c>
      <c r="B42" t="inlineStr">
        <is>
          <t>avverkningsanmälan</t>
        </is>
      </c>
      <c r="C42" t="inlineStr">
        <is>
          <t>Föryngringsavverkning</t>
        </is>
      </c>
      <c r="D42" s="1" t="n">
        <v>44748</v>
      </c>
      <c r="E42" s="1" t="n">
        <v>46314</v>
      </c>
      <c r="F42" t="inlineStr">
        <is>
          <t>NORRBOTTENS LÄN</t>
        </is>
      </c>
      <c r="G42" t="inlineStr">
        <is>
          <t>KIRUNA</t>
        </is>
      </c>
      <c r="I42" t="n">
        <v>15.2</v>
      </c>
      <c r="J42" t="n">
        <v>0</v>
      </c>
      <c r="K42" t="n">
        <v>0</v>
      </c>
      <c r="L42" t="n">
        <v>0</v>
      </c>
      <c r="M42" t="n">
        <v>0</v>
      </c>
      <c r="N42" t="n">
        <v>0</v>
      </c>
      <c r="O42" t="n">
        <v>0</v>
      </c>
      <c r="P42" t="n">
        <v>0</v>
      </c>
      <c r="Q42" t="n">
        <v>0</v>
      </c>
      <c r="R42" t="n">
        <v>0</v>
      </c>
      <c r="S42" t="n">
        <v>0</v>
      </c>
      <c r="T42" t="n">
        <v>0</v>
      </c>
      <c r="U42" t="n">
        <v>0</v>
      </c>
      <c r="V42" s="2" t="inlineStr"/>
    </row>
    <row r="43" ht="15" customHeight="1">
      <c r="A43" t="inlineStr">
        <is>
          <t>A 9068-2023</t>
        </is>
      </c>
      <c r="B43" t="inlineStr">
        <is>
          <t>avverkningsanmälan</t>
        </is>
      </c>
      <c r="C43" t="inlineStr">
        <is>
          <t>Föryngringsavverkning</t>
        </is>
      </c>
      <c r="D43" s="1" t="n">
        <v>44979</v>
      </c>
      <c r="E43" s="1" t="n">
        <v>46314</v>
      </c>
      <c r="F43" t="inlineStr">
        <is>
          <t>NORRBOTTENS LÄN</t>
        </is>
      </c>
      <c r="G43" t="inlineStr">
        <is>
          <t>KIRUNA</t>
        </is>
      </c>
      <c r="H43" t="inlineStr">
        <is>
          <t>SCA</t>
        </is>
      </c>
      <c r="I43" t="n">
        <v>4.6</v>
      </c>
      <c r="J43" t="n">
        <v>0</v>
      </c>
      <c r="K43" t="n">
        <v>0</v>
      </c>
      <c r="L43" t="n">
        <v>0</v>
      </c>
      <c r="M43" t="n">
        <v>0</v>
      </c>
      <c r="N43" t="n">
        <v>0</v>
      </c>
      <c r="O43" t="n">
        <v>0</v>
      </c>
      <c r="P43" t="n">
        <v>0</v>
      </c>
      <c r="Q43" t="n">
        <v>0</v>
      </c>
      <c r="R43" t="n">
        <v>0</v>
      </c>
      <c r="S43" t="n">
        <v>0</v>
      </c>
      <c r="T43" t="n">
        <v>0</v>
      </c>
      <c r="U43" t="n">
        <v>0</v>
      </c>
      <c r="V43" s="2" t="inlineStr"/>
    </row>
    <row r="44" ht="15" customHeight="1">
      <c r="A44" t="inlineStr">
        <is>
          <t>A 93-2024</t>
        </is>
      </c>
      <c r="B44" t="inlineStr">
        <is>
          <t>avverkningsanmälan</t>
        </is>
      </c>
      <c r="C44" t="inlineStr">
        <is>
          <t>Avverkning för annat ändamål</t>
        </is>
      </c>
      <c r="D44" s="1" t="n">
        <v>45293</v>
      </c>
      <c r="E44" s="1" t="n">
        <v>46314</v>
      </c>
      <c r="F44" t="inlineStr">
        <is>
          <t>NORRBOTTENS LÄN</t>
        </is>
      </c>
      <c r="G44" t="inlineStr">
        <is>
          <t>KIRUNA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39271-2023</t>
        </is>
      </c>
      <c r="B45" t="inlineStr">
        <is>
          <t>avverkningsanmälan</t>
        </is>
      </c>
      <c r="C45" t="inlineStr">
        <is>
          <t>Föryngringsavverkning</t>
        </is>
      </c>
      <c r="D45" s="1" t="n">
        <v>45162</v>
      </c>
      <c r="E45" s="1" t="n">
        <v>46314</v>
      </c>
      <c r="F45" t="inlineStr">
        <is>
          <t>NORRBOTTENS LÄN</t>
        </is>
      </c>
      <c r="G45" t="inlineStr">
        <is>
          <t>KIRUNA</t>
        </is>
      </c>
      <c r="I45" t="n">
        <v>51.9</v>
      </c>
      <c r="J45" t="n">
        <v>0</v>
      </c>
      <c r="K45" t="n">
        <v>0</v>
      </c>
      <c r="L45" t="n">
        <v>0</v>
      </c>
      <c r="M45" t="n">
        <v>0</v>
      </c>
      <c r="N45" t="n">
        <v>0</v>
      </c>
      <c r="O45" t="n">
        <v>0</v>
      </c>
      <c r="P45" t="n">
        <v>0</v>
      </c>
      <c r="Q45" t="n">
        <v>0</v>
      </c>
      <c r="R45" t="n">
        <v>0</v>
      </c>
      <c r="S45" t="n">
        <v>0</v>
      </c>
      <c r="T45" t="n">
        <v>0</v>
      </c>
      <c r="U45" t="n">
        <v>0</v>
      </c>
      <c r="V45" s="2" t="inlineStr"/>
    </row>
    <row r="46" ht="15" customHeight="1">
      <c r="A46" t="inlineStr">
        <is>
          <t>A 56168-2023</t>
        </is>
      </c>
      <c r="B46" t="inlineStr">
        <is>
          <t>avverkningsanmälan</t>
        </is>
      </c>
      <c r="C46" t="inlineStr">
        <is>
          <t>Avverkning för annat ändamål</t>
        </is>
      </c>
      <c r="D46" s="1" t="n">
        <v>45236</v>
      </c>
      <c r="E46" s="1" t="n">
        <v>46314</v>
      </c>
      <c r="F46" t="inlineStr">
        <is>
          <t>NORRBOTTENS LÄN</t>
        </is>
      </c>
      <c r="G46" t="inlineStr">
        <is>
          <t>KIRUNA</t>
        </is>
      </c>
      <c r="H46" t="inlineStr">
        <is>
          <t>Sveaskog</t>
        </is>
      </c>
      <c r="I46" t="n">
        <v>6.6</v>
      </c>
      <c r="J46" t="n">
        <v>0</v>
      </c>
      <c r="K46" t="n">
        <v>0</v>
      </c>
      <c r="L46" t="n">
        <v>0</v>
      </c>
      <c r="M46" t="n">
        <v>0</v>
      </c>
      <c r="N46" t="n">
        <v>0</v>
      </c>
      <c r="O46" t="n">
        <v>0</v>
      </c>
      <c r="P46" t="n">
        <v>0</v>
      </c>
      <c r="Q46" t="n">
        <v>0</v>
      </c>
      <c r="R46" t="n">
        <v>0</v>
      </c>
      <c r="S46" t="n">
        <v>0</v>
      </c>
      <c r="T46" t="n">
        <v>0</v>
      </c>
      <c r="U46" t="n">
        <v>0</v>
      </c>
      <c r="V46" s="2" t="inlineStr"/>
    </row>
    <row r="47" ht="15" customHeight="1">
      <c r="A47" t="inlineStr">
        <is>
          <t>A 50338-2025</t>
        </is>
      </c>
      <c r="B47" t="inlineStr">
        <is>
          <t>avverkningsanmälan</t>
        </is>
      </c>
      <c r="C47" t="inlineStr">
        <is>
          <t>Föryngringsavverkning</t>
        </is>
      </c>
      <c r="D47" s="1" t="n">
        <v>45944</v>
      </c>
      <c r="E47" s="1" t="n">
        <v>46314</v>
      </c>
      <c r="F47" t="inlineStr">
        <is>
          <t>NORRBOTTENS LÄN</t>
        </is>
      </c>
      <c r="G47" t="inlineStr">
        <is>
          <t>KIRUNA</t>
        </is>
      </c>
      <c r="H47" t="inlineStr">
        <is>
          <t>SCA</t>
        </is>
      </c>
      <c r="I47" t="n">
        <v>22.6</v>
      </c>
      <c r="J47" t="n">
        <v>0</v>
      </c>
      <c r="K47" t="n">
        <v>0</v>
      </c>
      <c r="L47" t="n">
        <v>0</v>
      </c>
      <c r="M47" t="n">
        <v>0</v>
      </c>
      <c r="N47" t="n">
        <v>0</v>
      </c>
      <c r="O47" t="n">
        <v>0</v>
      </c>
      <c r="P47" t="n">
        <v>0</v>
      </c>
      <c r="Q47" t="n">
        <v>0</v>
      </c>
      <c r="R47" t="n">
        <v>0</v>
      </c>
      <c r="S47" t="n">
        <v>0</v>
      </c>
      <c r="T47" t="n">
        <v>0</v>
      </c>
      <c r="U47" t="n">
        <v>0</v>
      </c>
      <c r="V47" s="2" t="inlineStr"/>
    </row>
    <row r="48" ht="15" customHeight="1">
      <c r="A48" t="inlineStr">
        <is>
          <t>A 22494-2024</t>
        </is>
      </c>
      <c r="B48" t="inlineStr">
        <is>
          <t>avverkningsanmälan</t>
        </is>
      </c>
      <c r="C48" t="inlineStr">
        <is>
          <t>Föryngringsavverkning</t>
        </is>
      </c>
      <c r="D48" s="1" t="n">
        <v>45447</v>
      </c>
      <c r="E48" s="1" t="n">
        <v>46314</v>
      </c>
      <c r="F48" t="inlineStr">
        <is>
          <t>NORRBOTTENS LÄN</t>
        </is>
      </c>
      <c r="G48" t="inlineStr">
        <is>
          <t>KIRUNA</t>
        </is>
      </c>
      <c r="I48" t="n">
        <v>6</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46314</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46314</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47730-2024</t>
        </is>
      </c>
      <c r="B51" t="inlineStr">
        <is>
          <t>avverkningsanmälan</t>
        </is>
      </c>
      <c r="C51" t="inlineStr">
        <is>
          <t>Föryngringsavverkning</t>
        </is>
      </c>
      <c r="D51" s="1" t="n">
        <v>45588</v>
      </c>
      <c r="E51" s="1" t="n">
        <v>46314</v>
      </c>
      <c r="F51" t="inlineStr">
        <is>
          <t>NORRBOTTENS LÄN</t>
        </is>
      </c>
      <c r="G51" t="inlineStr">
        <is>
          <t>KIRUNA</t>
        </is>
      </c>
      <c r="H51" t="inlineStr">
        <is>
          <t>Allmännings- och besparingsskogar</t>
        </is>
      </c>
      <c r="I51" t="n">
        <v>3.7</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46314</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46314</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2664-2026</t>
        </is>
      </c>
      <c r="B54" t="inlineStr">
        <is>
          <t>avverkningsanmälan</t>
        </is>
      </c>
      <c r="C54" t="inlineStr">
        <is>
          <t>Föryngringsavverkning</t>
        </is>
      </c>
      <c r="D54" s="1" t="n">
        <v>46037</v>
      </c>
      <c r="E54" s="1" t="n">
        <v>46314</v>
      </c>
      <c r="F54" t="inlineStr">
        <is>
          <t>NORRBOTTENS LÄN</t>
        </is>
      </c>
      <c r="G54" t="inlineStr">
        <is>
          <t>KIRUNA</t>
        </is>
      </c>
      <c r="I54" t="n">
        <v>31.3</v>
      </c>
      <c r="J54" t="n">
        <v>0</v>
      </c>
      <c r="K54" t="n">
        <v>0</v>
      </c>
      <c r="L54" t="n">
        <v>0</v>
      </c>
      <c r="M54" t="n">
        <v>0</v>
      </c>
      <c r="N54" t="n">
        <v>0</v>
      </c>
      <c r="O54" t="n">
        <v>0</v>
      </c>
      <c r="P54" t="n">
        <v>0</v>
      </c>
      <c r="Q54" t="n">
        <v>0</v>
      </c>
      <c r="R54" t="n">
        <v>0</v>
      </c>
      <c r="S54" t="n">
        <v>0</v>
      </c>
      <c r="T54" t="n">
        <v>0</v>
      </c>
      <c r="U54" t="n">
        <v>0</v>
      </c>
      <c r="V54" s="2" t="inlineStr"/>
    </row>
    <row r="55" ht="15" customHeight="1">
      <c r="A55" t="inlineStr">
        <is>
          <t>A 9069-2023</t>
        </is>
      </c>
      <c r="B55" t="inlineStr">
        <is>
          <t>avverkningsanmälan</t>
        </is>
      </c>
      <c r="C55" t="inlineStr">
        <is>
          <t>Föryngringsavverkning</t>
        </is>
      </c>
      <c r="D55" s="1" t="n">
        <v>44979</v>
      </c>
      <c r="E55" s="1" t="n">
        <v>46314</v>
      </c>
      <c r="F55" t="inlineStr">
        <is>
          <t>NORRBOTTENS LÄN</t>
        </is>
      </c>
      <c r="G55" t="inlineStr">
        <is>
          <t>KIRUNA</t>
        </is>
      </c>
      <c r="H55" t="inlineStr">
        <is>
          <t>SCA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46314</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13405-2026</t>
        </is>
      </c>
      <c r="B57" t="inlineStr">
        <is>
          <t>avverkningsanmälan</t>
        </is>
      </c>
      <c r="C57" t="inlineStr">
        <is>
          <t>Föryngringsavverkning</t>
        </is>
      </c>
      <c r="D57" s="1" t="n">
        <v>46094</v>
      </c>
      <c r="E57" s="1" t="n">
        <v>46314</v>
      </c>
      <c r="F57" t="inlineStr">
        <is>
          <t>NORRBOTTENS LÄN</t>
        </is>
      </c>
      <c r="G57" t="inlineStr">
        <is>
          <t>KIRUNA</t>
        </is>
      </c>
      <c r="I57" t="n">
        <v>24.5</v>
      </c>
      <c r="J57" t="n">
        <v>0</v>
      </c>
      <c r="K57" t="n">
        <v>0</v>
      </c>
      <c r="L57" t="n">
        <v>0</v>
      </c>
      <c r="M57" t="n">
        <v>0</v>
      </c>
      <c r="N57" t="n">
        <v>0</v>
      </c>
      <c r="O57" t="n">
        <v>0</v>
      </c>
      <c r="P57" t="n">
        <v>0</v>
      </c>
      <c r="Q57" t="n">
        <v>0</v>
      </c>
      <c r="R57" t="n">
        <v>0</v>
      </c>
      <c r="S57" t="n">
        <v>0</v>
      </c>
      <c r="T57" t="n">
        <v>0</v>
      </c>
      <c r="U57" t="n">
        <v>0</v>
      </c>
      <c r="V57" s="2" t="inlineStr"/>
    </row>
    <row r="58" ht="15" customHeight="1">
      <c r="A58" t="inlineStr">
        <is>
          <t>A 20744-2024</t>
        </is>
      </c>
      <c r="B58" t="inlineStr">
        <is>
          <t>avverkningsanmälan</t>
        </is>
      </c>
      <c r="C58" t="inlineStr">
        <is>
          <t>Föryngringsavverkning</t>
        </is>
      </c>
      <c r="D58" s="1" t="n">
        <v>45436</v>
      </c>
      <c r="E58" s="1" t="n">
        <v>46314</v>
      </c>
      <c r="F58" t="inlineStr">
        <is>
          <t>NORRBOTTENS LÄN</t>
        </is>
      </c>
      <c r="G58" t="inlineStr">
        <is>
          <t>KIRUNA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16197-2026</t>
        </is>
      </c>
      <c r="B59" t="inlineStr">
        <is>
          <t>avverkningsanmälan</t>
        </is>
      </c>
      <c r="C59" t="inlineStr">
        <is>
          <t>Avverkning för annat ändamål</t>
        </is>
      </c>
      <c r="D59" s="1" t="n">
        <v>46108</v>
      </c>
      <c r="E59" s="1" t="n">
        <v>46314</v>
      </c>
      <c r="F59" t="inlineStr">
        <is>
          <t>NORRBOTTENS LÄN</t>
        </is>
      </c>
      <c r="G59" t="inlineStr">
        <is>
          <t>KIRUNA</t>
        </is>
      </c>
      <c r="H59" t="inlineStr">
        <is>
          <t>Övriga statliga verk och myndigheter</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18388-2026</t>
        </is>
      </c>
      <c r="B60" t="inlineStr">
        <is>
          <t>avverkningsanmälan</t>
        </is>
      </c>
      <c r="C60" t="inlineStr">
        <is>
          <t>Föryngringsavverkning</t>
        </is>
      </c>
      <c r="D60" s="1" t="n">
        <v>46126</v>
      </c>
      <c r="E60" s="1" t="n">
        <v>46314</v>
      </c>
      <c r="F60" t="inlineStr">
        <is>
          <t>NORRBOTTENS LÄN</t>
        </is>
      </c>
      <c r="G60" t="inlineStr">
        <is>
          <t>KIRUNA</t>
        </is>
      </c>
      <c r="I60" t="n">
        <v>5.2</v>
      </c>
      <c r="J60" t="n">
        <v>0</v>
      </c>
      <c r="K60" t="n">
        <v>0</v>
      </c>
      <c r="L60" t="n">
        <v>0</v>
      </c>
      <c r="M60" t="n">
        <v>0</v>
      </c>
      <c r="N60" t="n">
        <v>0</v>
      </c>
      <c r="O60" t="n">
        <v>0</v>
      </c>
      <c r="P60" t="n">
        <v>0</v>
      </c>
      <c r="Q60" t="n">
        <v>0</v>
      </c>
      <c r="R60" t="n">
        <v>0</v>
      </c>
      <c r="S60" t="n">
        <v>0</v>
      </c>
      <c r="T60" t="n">
        <v>0</v>
      </c>
      <c r="U60" t="n">
        <v>0</v>
      </c>
      <c r="V60" s="2" t="inlineStr"/>
    </row>
    <row r="61" ht="15" customHeight="1">
      <c r="A61" t="inlineStr">
        <is>
          <t>A 12937-2026</t>
        </is>
      </c>
      <c r="B61" t="inlineStr">
        <is>
          <t>avverkningsanmälan</t>
        </is>
      </c>
      <c r="C61" t="inlineStr">
        <is>
          <t>Föryngringsavverkning</t>
        </is>
      </c>
      <c r="D61" s="1" t="n">
        <v>46092</v>
      </c>
      <c r="E61" s="1" t="n">
        <v>46314</v>
      </c>
      <c r="F61" t="inlineStr">
        <is>
          <t>NORRBOTTENS LÄN</t>
        </is>
      </c>
      <c r="G61" t="inlineStr">
        <is>
          <t>KIRUNA</t>
        </is>
      </c>
      <c r="I61" t="n">
        <v>37.2</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46314</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46314</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46314</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30562-2026</t>
        </is>
      </c>
      <c r="B65" t="inlineStr">
        <is>
          <t>avverkningsanmälan</t>
        </is>
      </c>
      <c r="C65" t="inlineStr">
        <is>
          <t>Föryngringsavverkning</t>
        </is>
      </c>
      <c r="D65" s="1" t="n">
        <v>46210</v>
      </c>
      <c r="E65" s="1" t="n">
        <v>46314</v>
      </c>
      <c r="F65" t="inlineStr">
        <is>
          <t>NORRBOTTENS LÄN</t>
        </is>
      </c>
      <c r="G65" t="inlineStr">
        <is>
          <t>KIRUNA</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8350-2025</t>
        </is>
      </c>
      <c r="B66" t="inlineStr">
        <is>
          <t>avverkningsanmälan</t>
        </is>
      </c>
      <c r="C66" t="inlineStr">
        <is>
          <t>Avverkning för annat ändamål</t>
        </is>
      </c>
      <c r="D66" s="1" t="n">
        <v>45708</v>
      </c>
      <c r="E66" s="1" t="n">
        <v>46314</v>
      </c>
      <c r="F66" t="inlineStr">
        <is>
          <t>NORRBOTTENS LÄN</t>
        </is>
      </c>
      <c r="G66" t="inlineStr">
        <is>
          <t>KIRUNA</t>
        </is>
      </c>
      <c r="H66" t="inlineStr">
        <is>
          <t>Övriga statliga verk och myndigheter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22504-2024</t>
        </is>
      </c>
      <c r="B67" t="inlineStr">
        <is>
          <t>avverkningsanmälan</t>
        </is>
      </c>
      <c r="C67" t="inlineStr">
        <is>
          <t>Föryngringsavverkning</t>
        </is>
      </c>
      <c r="D67" s="1" t="n">
        <v>45447</v>
      </c>
      <c r="E67" s="1" t="n">
        <v>46314</v>
      </c>
      <c r="F67" t="inlineStr">
        <is>
          <t>NORRBOTTENS LÄN</t>
        </is>
      </c>
      <c r="G67" t="inlineStr">
        <is>
          <t>KIRUNA</t>
        </is>
      </c>
      <c r="I67" t="n">
        <v>15.6</v>
      </c>
      <c r="J67" t="n">
        <v>0</v>
      </c>
      <c r="K67" t="n">
        <v>0</v>
      </c>
      <c r="L67" t="n">
        <v>0</v>
      </c>
      <c r="M67" t="n">
        <v>0</v>
      </c>
      <c r="N67" t="n">
        <v>0</v>
      </c>
      <c r="O67" t="n">
        <v>0</v>
      </c>
      <c r="P67" t="n">
        <v>0</v>
      </c>
      <c r="Q67" t="n">
        <v>0</v>
      </c>
      <c r="R67" t="n">
        <v>0</v>
      </c>
      <c r="S67" t="n">
        <v>0</v>
      </c>
      <c r="T67" t="n">
        <v>0</v>
      </c>
      <c r="U67" t="n">
        <v>0</v>
      </c>
      <c r="V67" s="2" t="inlineStr"/>
    </row>
    <row r="68" ht="15" customHeight="1">
      <c r="A68" t="inlineStr">
        <is>
          <t>A 62452-2022</t>
        </is>
      </c>
      <c r="B68" t="inlineStr">
        <is>
          <t>avverkningsanmälan</t>
        </is>
      </c>
      <c r="C68" t="inlineStr">
        <is>
          <t>Föryngringsavverkning</t>
        </is>
      </c>
      <c r="D68" s="1" t="n">
        <v>44916</v>
      </c>
      <c r="E68" s="1" t="n">
        <v>46314</v>
      </c>
      <c r="F68" t="inlineStr">
        <is>
          <t>NORRBOTTENS LÄN</t>
        </is>
      </c>
      <c r="G68" t="inlineStr">
        <is>
          <t>KIRUNA</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46314</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23469-2022</t>
        </is>
      </c>
      <c r="B70" t="inlineStr">
        <is>
          <t>avverkningsanmälan</t>
        </is>
      </c>
      <c r="C70" t="inlineStr">
        <is>
          <t>Föryngringsavverkning</t>
        </is>
      </c>
      <c r="D70" s="1" t="n">
        <v>44721</v>
      </c>
      <c r="E70" s="1" t="n">
        <v>46314</v>
      </c>
      <c r="F70" t="inlineStr">
        <is>
          <t>NORRBOTTENS LÄN</t>
        </is>
      </c>
      <c r="G70" t="inlineStr">
        <is>
          <t>KIRUNA</t>
        </is>
      </c>
      <c r="I70" t="n">
        <v>11.8</v>
      </c>
      <c r="J70" t="n">
        <v>0</v>
      </c>
      <c r="K70" t="n">
        <v>0</v>
      </c>
      <c r="L70" t="n">
        <v>0</v>
      </c>
      <c r="M70" t="n">
        <v>0</v>
      </c>
      <c r="N70" t="n">
        <v>0</v>
      </c>
      <c r="O70" t="n">
        <v>0</v>
      </c>
      <c r="P70" t="n">
        <v>0</v>
      </c>
      <c r="Q70" t="n">
        <v>0</v>
      </c>
      <c r="R70" t="n">
        <v>0</v>
      </c>
      <c r="S70" t="n">
        <v>0</v>
      </c>
      <c r="T70" t="n">
        <v>0</v>
      </c>
      <c r="U70" t="n">
        <v>0</v>
      </c>
      <c r="V70" s="2" t="inlineStr"/>
    </row>
    <row r="71" ht="15" customHeight="1">
      <c r="A71" t="inlineStr">
        <is>
          <t>A 18738-2022</t>
        </is>
      </c>
      <c r="B71" t="inlineStr">
        <is>
          <t>avverkningsanmälan</t>
        </is>
      </c>
      <c r="C71" t="inlineStr">
        <is>
          <t>Avverkning för annat ändamål</t>
        </is>
      </c>
      <c r="D71" s="1" t="n">
        <v>44687</v>
      </c>
      <c r="E71" s="1" t="n">
        <v>46314</v>
      </c>
      <c r="F71" t="inlineStr">
        <is>
          <t>NORRBOTTENS LÄN</t>
        </is>
      </c>
      <c r="G71" t="inlineStr">
        <is>
          <t>KIRUNA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21268-2026</t>
        </is>
      </c>
      <c r="B72" t="inlineStr">
        <is>
          <t>avverkningsanmälan</t>
        </is>
      </c>
      <c r="C72" t="inlineStr">
        <is>
          <t>Föryngringsavverkning</t>
        </is>
      </c>
      <c r="D72" s="1" t="n">
        <v>46147</v>
      </c>
      <c r="E72" s="1" t="n">
        <v>46314</v>
      </c>
      <c r="F72" t="inlineStr">
        <is>
          <t>NORRBOTTENS LÄN</t>
        </is>
      </c>
      <c r="G72" t="inlineStr">
        <is>
          <t>KIRUNA</t>
        </is>
      </c>
      <c r="I72" t="n">
        <v>35.7</v>
      </c>
      <c r="J72" t="n">
        <v>0</v>
      </c>
      <c r="K72" t="n">
        <v>0</v>
      </c>
      <c r="L72" t="n">
        <v>0</v>
      </c>
      <c r="M72" t="n">
        <v>0</v>
      </c>
      <c r="N72" t="n">
        <v>0</v>
      </c>
      <c r="O72" t="n">
        <v>0</v>
      </c>
      <c r="P72" t="n">
        <v>0</v>
      </c>
      <c r="Q72" t="n">
        <v>0</v>
      </c>
      <c r="R72" t="n">
        <v>0</v>
      </c>
      <c r="S72" t="n">
        <v>0</v>
      </c>
      <c r="T72" t="n">
        <v>0</v>
      </c>
      <c r="U72" t="n">
        <v>0</v>
      </c>
      <c r="V72" s="2" t="inlineStr"/>
    </row>
    <row r="73" ht="15" customHeight="1">
      <c r="A73" t="inlineStr">
        <is>
          <t>A 39321-2026</t>
        </is>
      </c>
      <c r="B73" t="inlineStr">
        <is>
          <t>avverkningsanmälan</t>
        </is>
      </c>
      <c r="C73" t="inlineStr">
        <is>
          <t>Föryngringsavverkning</t>
        </is>
      </c>
      <c r="D73" s="1" t="n">
        <v>46288</v>
      </c>
      <c r="E73" s="1" t="n">
        <v>46314</v>
      </c>
      <c r="F73" t="inlineStr">
        <is>
          <t>NORRBOTTENS LÄN</t>
        </is>
      </c>
      <c r="G73" t="inlineStr">
        <is>
          <t>KIRUNA</t>
        </is>
      </c>
      <c r="I73" t="n">
        <v>13.6</v>
      </c>
      <c r="J73" t="n">
        <v>0</v>
      </c>
      <c r="K73" t="n">
        <v>0</v>
      </c>
      <c r="L73" t="n">
        <v>0</v>
      </c>
      <c r="M73" t="n">
        <v>0</v>
      </c>
      <c r="N73" t="n">
        <v>0</v>
      </c>
      <c r="O73" t="n">
        <v>0</v>
      </c>
      <c r="P73" t="n">
        <v>0</v>
      </c>
      <c r="Q73" t="n">
        <v>0</v>
      </c>
      <c r="R73" t="n">
        <v>0</v>
      </c>
      <c r="S73" t="n">
        <v>0</v>
      </c>
      <c r="T73" t="n">
        <v>0</v>
      </c>
      <c r="U73" t="n">
        <v>0</v>
      </c>
      <c r="V73" s="2" t="inlineStr"/>
    </row>
    <row r="74" ht="15" customHeight="1">
      <c r="A74" t="inlineStr">
        <is>
          <t>A 5476-2024</t>
        </is>
      </c>
      <c r="B74" t="inlineStr">
        <is>
          <t>avverkningsanmälan</t>
        </is>
      </c>
      <c r="C74" t="inlineStr">
        <is>
          <t>Föryngringsavverkning</t>
        </is>
      </c>
      <c r="D74" s="1" t="n">
        <v>45333</v>
      </c>
      <c r="E74" s="1" t="n">
        <v>46314</v>
      </c>
      <c r="F74" t="inlineStr">
        <is>
          <t>NORRBOTTENS LÄN</t>
        </is>
      </c>
      <c r="G74" t="inlineStr">
        <is>
          <t>KIRUNA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34693-2022</t>
        </is>
      </c>
      <c r="B75" t="inlineStr">
        <is>
          <t>avverkningsanmälan</t>
        </is>
      </c>
      <c r="C75" t="inlineStr">
        <is>
          <t>Föryngringsavverkning</t>
        </is>
      </c>
      <c r="D75" s="1" t="n">
        <v>44795</v>
      </c>
      <c r="E75" s="1" t="n">
        <v>46314</v>
      </c>
      <c r="F75" t="inlineStr">
        <is>
          <t>NORRBOTTENS LÄN</t>
        </is>
      </c>
      <c r="G75" t="inlineStr">
        <is>
          <t>KIRUNA</t>
        </is>
      </c>
      <c r="I75" t="n">
        <v>12.3</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46314</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39064-2026</t>
        </is>
      </c>
      <c r="B77" t="inlineStr">
        <is>
          <t>avverkningsanmälan</t>
        </is>
      </c>
      <c r="C77" t="inlineStr">
        <is>
          <t>Föryngringsavverkning</t>
        </is>
      </c>
      <c r="D77" s="1" t="n">
        <v>46287</v>
      </c>
      <c r="E77" s="1" t="n">
        <v>46314</v>
      </c>
      <c r="F77" t="inlineStr">
        <is>
          <t>NORRBOTTENS LÄN</t>
        </is>
      </c>
      <c r="G77" t="inlineStr">
        <is>
          <t>KIRUNA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41127-2023</t>
        </is>
      </c>
      <c r="B78" t="inlineStr">
        <is>
          <t>avverkningsanmälan</t>
        </is>
      </c>
      <c r="C78" t="inlineStr">
        <is>
          <t>Avverkning för annat ändamål</t>
        </is>
      </c>
      <c r="D78" s="1" t="n">
        <v>45173</v>
      </c>
      <c r="E78" s="1" t="n">
        <v>46314</v>
      </c>
      <c r="F78" t="inlineStr">
        <is>
          <t>NORRBOTTENS LÄN</t>
        </is>
      </c>
      <c r="G78" t="inlineStr">
        <is>
          <t>KIRUNA</t>
        </is>
      </c>
      <c r="H78" t="inlineStr">
        <is>
          <t>SCA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46314</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46314</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46314</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46314</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49704-2024</t>
        </is>
      </c>
      <c r="B83" t="inlineStr">
        <is>
          <t>avverkningsanmälan</t>
        </is>
      </c>
      <c r="C83" t="inlineStr">
        <is>
          <t>Föryngringsavverkning</t>
        </is>
      </c>
      <c r="D83" s="1" t="n">
        <v>45596</v>
      </c>
      <c r="E83" s="1" t="n">
        <v>46314</v>
      </c>
      <c r="F83" t="inlineStr">
        <is>
          <t>NORRBOTTENS LÄN</t>
        </is>
      </c>
      <c r="G83" t="inlineStr">
        <is>
          <t>KIRUNA</t>
        </is>
      </c>
      <c r="I83" t="n">
        <v>17.4</v>
      </c>
      <c r="J83" t="n">
        <v>0</v>
      </c>
      <c r="K83" t="n">
        <v>0</v>
      </c>
      <c r="L83" t="n">
        <v>0</v>
      </c>
      <c r="M83" t="n">
        <v>0</v>
      </c>
      <c r="N83" t="n">
        <v>0</v>
      </c>
      <c r="O83" t="n">
        <v>0</v>
      </c>
      <c r="P83" t="n">
        <v>0</v>
      </c>
      <c r="Q83" t="n">
        <v>0</v>
      </c>
      <c r="R83" t="n">
        <v>0</v>
      </c>
      <c r="S83" t="n">
        <v>0</v>
      </c>
      <c r="T83" t="n">
        <v>0</v>
      </c>
      <c r="U83" t="n">
        <v>0</v>
      </c>
      <c r="V83" s="2" t="inlineStr"/>
    </row>
    <row r="84" ht="15" customHeight="1">
      <c r="A84" t="inlineStr">
        <is>
          <t>A 41451-2026</t>
        </is>
      </c>
      <c r="B84" t="inlineStr">
        <is>
          <t>avverkningsanmälan</t>
        </is>
      </c>
      <c r="C84" t="inlineStr">
        <is>
          <t>Föryngringsavverkning</t>
        </is>
      </c>
      <c r="D84" s="1" t="n">
        <v>46301</v>
      </c>
      <c r="E84" s="1" t="n">
        <v>46314</v>
      </c>
      <c r="F84" t="inlineStr">
        <is>
          <t>NORRBOTTENS LÄN</t>
        </is>
      </c>
      <c r="G84" t="inlineStr">
        <is>
          <t>KIRUNA</t>
        </is>
      </c>
      <c r="I84" t="n">
        <v>28.1</v>
      </c>
      <c r="J84" t="n">
        <v>0</v>
      </c>
      <c r="K84" t="n">
        <v>0</v>
      </c>
      <c r="L84" t="n">
        <v>0</v>
      </c>
      <c r="M84" t="n">
        <v>0</v>
      </c>
      <c r="N84" t="n">
        <v>0</v>
      </c>
      <c r="O84" t="n">
        <v>0</v>
      </c>
      <c r="P84" t="n">
        <v>0</v>
      </c>
      <c r="Q84" t="n">
        <v>0</v>
      </c>
      <c r="R84" t="n">
        <v>0</v>
      </c>
      <c r="S84" t="n">
        <v>0</v>
      </c>
      <c r="T84" t="n">
        <v>0</v>
      </c>
      <c r="U84" t="n">
        <v>0</v>
      </c>
      <c r="V84" s="2" t="inlineStr"/>
    </row>
    <row r="85" ht="15" customHeight="1">
      <c r="A85" t="inlineStr">
        <is>
          <t>A 37993-2026</t>
        </is>
      </c>
      <c r="B85" t="inlineStr">
        <is>
          <t>avverkningsanmälan</t>
        </is>
      </c>
      <c r="C85" t="inlineStr">
        <is>
          <t>Föryngringsavverkning</t>
        </is>
      </c>
      <c r="D85" s="1" t="n">
        <v>46280</v>
      </c>
      <c r="E85" s="1" t="n">
        <v>46314</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50590-2023</t>
        </is>
      </c>
      <c r="B86" t="inlineStr">
        <is>
          <t>avverkningsanmälan</t>
        </is>
      </c>
      <c r="C86" t="inlineStr">
        <is>
          <t>Föryngringsavverkning</t>
        </is>
      </c>
      <c r="D86" s="1" t="n">
        <v>45217</v>
      </c>
      <c r="E86" s="1" t="n">
        <v>46314</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46314</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34663-2025</t>
        </is>
      </c>
      <c r="B88" t="inlineStr">
        <is>
          <t>avverkningsanmälan</t>
        </is>
      </c>
      <c r="C88" t="inlineStr">
        <is>
          <t>Föryngringsavverkning</t>
        </is>
      </c>
      <c r="D88" s="1" t="n">
        <v>45848</v>
      </c>
      <c r="E88" s="1" t="n">
        <v>46314</v>
      </c>
      <c r="F88" t="inlineStr">
        <is>
          <t>NORRBOTTENS LÄN</t>
        </is>
      </c>
      <c r="G88" t="inlineStr">
        <is>
          <t>KIRUNA</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34664-2025</t>
        </is>
      </c>
      <c r="B89" t="inlineStr">
        <is>
          <t>avverkningsanmälan</t>
        </is>
      </c>
      <c r="C89" t="inlineStr">
        <is>
          <t>Föryngringsavverkning</t>
        </is>
      </c>
      <c r="D89" s="1" t="n">
        <v>45848</v>
      </c>
      <c r="E89" s="1" t="n">
        <v>46314</v>
      </c>
      <c r="F89" t="inlineStr">
        <is>
          <t>NORRBOTTENS LÄN</t>
        </is>
      </c>
      <c r="G89" t="inlineStr">
        <is>
          <t>KIRUNA</t>
        </is>
      </c>
      <c r="I89" t="n">
        <v>8.4</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46314</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2026-10-19T01:59:36Z</dcterms:created>
  <dcterms:modified xmlns:dcterms="http://purl.org/dc/terms/" xmlns:xsi="http://www.w3.org/2001/XMLSchema-instance" xsi:type="dcterms:W3CDTF">2026-10-19T01:59:36Z</dcterms:modified>
</cp:coreProperties>
</file>