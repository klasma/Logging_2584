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46261</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46261</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46261</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46261</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46261</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46261</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46261</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46261</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46261</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46261</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46261</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46261</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46261</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46261</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46261</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17740-2023</t>
        </is>
      </c>
      <c r="B18" t="inlineStr">
        <is>
          <t>avverkningsanmälan</t>
        </is>
      </c>
      <c r="C18" t="inlineStr">
        <is>
          <t>Föryngringsavverkning</t>
        </is>
      </c>
      <c r="D18" s="1" t="n">
        <v>45035</v>
      </c>
      <c r="E18" s="1" t="n">
        <v>46261</v>
      </c>
      <c r="F18" t="inlineStr">
        <is>
          <t>NORRBOTTENS LÄN</t>
        </is>
      </c>
      <c r="G18" t="inlineStr">
        <is>
          <t>KIRUNA</t>
        </is>
      </c>
      <c r="H18" t="inlineStr">
        <is>
          <t>Allmännings- och besparingsskogar</t>
        </is>
      </c>
      <c r="I18" t="n">
        <v>20.1</v>
      </c>
      <c r="J18" t="n">
        <v>1</v>
      </c>
      <c r="K18" t="n">
        <v>0</v>
      </c>
      <c r="L18" t="n">
        <v>1</v>
      </c>
      <c r="M18" t="n">
        <v>0</v>
      </c>
      <c r="N18" t="n">
        <v>0</v>
      </c>
      <c r="O18" t="n">
        <v>0</v>
      </c>
      <c r="P18" t="n">
        <v>0</v>
      </c>
      <c r="Q18" t="n">
        <v>1</v>
      </c>
      <c r="R18" t="n">
        <v>0</v>
      </c>
      <c r="S18" t="n">
        <v>2</v>
      </c>
      <c r="T18" t="n">
        <v>2</v>
      </c>
      <c r="U18" t="n">
        <v>1</v>
      </c>
      <c r="V18" s="2" t="inlineStr">
        <is>
          <t>Knottrig blåslav
Svartvit flugsnappare</t>
        </is>
      </c>
      <c r="W18">
        <f>HYPERLINK("https://klasma.github.io/Logging_2584/artfynd/A 17740-2023 artfynd.xlsx", "A 17740-2023")</f>
        <v/>
      </c>
      <c r="X18">
        <f>HYPERLINK("https://klasma.github.io/Logging_2584/kartor/A 17740-2023 karta.png", "A 17740-2023")</f>
        <v/>
      </c>
      <c r="Y18">
        <f>HYPERLINK("https://klasma.github.io/Logging_2584/kartor_geotiff/A 17740-2023 georefererad karta.tif", "A 17740-2023")</f>
        <v/>
      </c>
      <c r="AA18">
        <f>HYPERLINK("https://klasma.github.io/Logging_2584/klagomål/A 17740-2023 FSC-klagomål.docx", "A 17740-2023")</f>
        <v/>
      </c>
      <c r="AB18">
        <f>HYPERLINK("https://klasma.github.io/Logging_2584/klagomålsmail/A 17740-2023 FSC-klagomål mail.docx", "A 17740-2023")</f>
        <v/>
      </c>
      <c r="AC18">
        <f>HYPERLINK("https://klasma.github.io/Logging_2584/tillsyn/A 17740-2023 tillsynsbegäran.docx", "A 17740-2023")</f>
        <v/>
      </c>
      <c r="AD18">
        <f>HYPERLINK("https://klasma.github.io/Logging_2584/tillsynsmail/A 17740-2023 tillsynsbegäran mail.docx", "A 17740-2023")</f>
        <v/>
      </c>
    </row>
    <row r="19" ht="15" customHeight="1">
      <c r="A19" t="inlineStr">
        <is>
          <t>A 53264-2023</t>
        </is>
      </c>
      <c r="B19" t="inlineStr">
        <is>
          <t>avverkningsanmälan</t>
        </is>
      </c>
      <c r="C19" t="inlineStr">
        <is>
          <t>Föryngringsavverkning</t>
        </is>
      </c>
      <c r="D19" s="1" t="n">
        <v>45222</v>
      </c>
      <c r="E19" s="1" t="n">
        <v>46261</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58860-2022</t>
        </is>
      </c>
      <c r="B20" t="inlineStr">
        <is>
          <t>avverkningsanmälan</t>
        </is>
      </c>
      <c r="C20" t="inlineStr">
        <is>
          <t>Avverkning för annat ändamål</t>
        </is>
      </c>
      <c r="D20" s="1" t="n">
        <v>44896</v>
      </c>
      <c r="E20" s="1" t="n">
        <v>46261</v>
      </c>
      <c r="F20" t="inlineStr">
        <is>
          <t>NORRBOTTENS LÄN</t>
        </is>
      </c>
      <c r="G20" t="inlineStr">
        <is>
          <t>KIRUNA</t>
        </is>
      </c>
      <c r="I20" t="n">
        <v>0.3</v>
      </c>
      <c r="J20" t="n">
        <v>2</v>
      </c>
      <c r="K20" t="n">
        <v>0</v>
      </c>
      <c r="L20" t="n">
        <v>0</v>
      </c>
      <c r="M20" t="n">
        <v>0</v>
      </c>
      <c r="N20" t="n">
        <v>1</v>
      </c>
      <c r="O20" t="n">
        <v>0</v>
      </c>
      <c r="P20" t="n">
        <v>0</v>
      </c>
      <c r="Q20" t="n">
        <v>1</v>
      </c>
      <c r="R20" t="n">
        <v>1</v>
      </c>
      <c r="S20" t="n">
        <v>2</v>
      </c>
      <c r="T20" t="n">
        <v>2</v>
      </c>
      <c r="U20" t="n">
        <v>2</v>
      </c>
      <c r="V20" s="2" t="inlineStr">
        <is>
          <t>Brun glada
Salskrake</t>
        </is>
      </c>
      <c r="W20">
        <f>HYPERLINK("https://klasma.github.io/Logging_2584/artfynd/A 58860-2022 artfynd.xlsx", "A 58860-2022")</f>
        <v/>
      </c>
      <c r="X20">
        <f>HYPERLINK("https://klasma.github.io/Logging_2584/kartor/A 58860-2022 karta.png", "A 58860-2022")</f>
        <v/>
      </c>
      <c r="Y20">
        <f>HYPERLINK("https://klasma.github.io/Logging_2584/kartor_geotiff/A 58860-2022 georefererad karta.tif", "A 58860-2022")</f>
        <v/>
      </c>
      <c r="AA20">
        <f>HYPERLINK("https://klasma.github.io/Logging_2584/klagomål/A 58860-2022 FSC-klagomål.docx", "A 58860-2022")</f>
        <v/>
      </c>
      <c r="AB20">
        <f>HYPERLINK("https://klasma.github.io/Logging_2584/klagomålsmail/A 58860-2022 FSC-klagomål mail.docx", "A 58860-2022")</f>
        <v/>
      </c>
      <c r="AC20">
        <f>HYPERLINK("https://klasma.github.io/Logging_2584/tillsyn/A 58860-2022 tillsynsbegäran.docx", "A 58860-2022")</f>
        <v/>
      </c>
      <c r="AD20">
        <f>HYPERLINK("https://klasma.github.io/Logging_2584/tillsynsmail/A 58860-2022 tillsynsbegäran mail.docx", "A 58860-2022")</f>
        <v/>
      </c>
      <c r="AE20">
        <f>HYPERLINK("https://klasma.github.io/Logging_2584/fåglar/A 58860-2022 prioriterade fågelarter.docx", "A 58860-2022")</f>
        <v/>
      </c>
    </row>
    <row r="21" ht="15" customHeight="1">
      <c r="A21" t="inlineStr">
        <is>
          <t>A 53264-2023</t>
        </is>
      </c>
      <c r="B21" t="inlineStr">
        <is>
          <t>avverkningsanmälan</t>
        </is>
      </c>
      <c r="C21" t="inlineStr">
        <is>
          <t>Föryngringsavverkning</t>
        </is>
      </c>
      <c r="D21" s="1" t="n">
        <v>45222</v>
      </c>
      <c r="E21" s="1" t="n">
        <v>46261</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45810-2022</t>
        </is>
      </c>
      <c r="B22" t="inlineStr">
        <is>
          <t>avverkningsanmälan</t>
        </is>
      </c>
      <c r="C22" t="inlineStr">
        <is>
          <t>Avverkning för annat ändamål</t>
        </is>
      </c>
      <c r="D22" s="1" t="n">
        <v>44844</v>
      </c>
      <c r="E22" s="1" t="n">
        <v>46261</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46261</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46261</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2660-2026</t>
        </is>
      </c>
      <c r="B25" t="inlineStr">
        <is>
          <t>avverkningsanmälan</t>
        </is>
      </c>
      <c r="C25" t="inlineStr">
        <is>
          <t>Föryngringsavverkning</t>
        </is>
      </c>
      <c r="D25" s="1" t="n">
        <v>46037</v>
      </c>
      <c r="E25" s="1" t="n">
        <v>46261</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46261</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46261</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46261</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45205-2022</t>
        </is>
      </c>
      <c r="B29" t="inlineStr">
        <is>
          <t>avverkningsanmälan</t>
        </is>
      </c>
      <c r="C29" t="inlineStr">
        <is>
          <t>Avverkning för annat ändamål</t>
        </is>
      </c>
      <c r="D29" s="1" t="n">
        <v>44840</v>
      </c>
      <c r="E29" s="1" t="n">
        <v>46261</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46261</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46261</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46261</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9605-2024</t>
        </is>
      </c>
      <c r="B33" t="inlineStr">
        <is>
          <t>avverkningsanmälan</t>
        </is>
      </c>
      <c r="C33" t="inlineStr">
        <is>
          <t>Föryngringsavverkning</t>
        </is>
      </c>
      <c r="D33" s="1" t="n">
        <v>45361</v>
      </c>
      <c r="E33" s="1" t="n">
        <v>46261</v>
      </c>
      <c r="F33" t="inlineStr">
        <is>
          <t>NORRBOTTENS LÄN</t>
        </is>
      </c>
      <c r="G33" t="inlineStr">
        <is>
          <t>KIRUNA</t>
        </is>
      </c>
      <c r="I33" t="n">
        <v>8.4</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46261</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148-2026</t>
        </is>
      </c>
      <c r="B35" t="inlineStr">
        <is>
          <t>avverkningsanmälan</t>
        </is>
      </c>
      <c r="C35" t="inlineStr">
        <is>
          <t>Föryngringsavverkning</t>
        </is>
      </c>
      <c r="D35" s="1" t="n">
        <v>46024</v>
      </c>
      <c r="E35" s="1" t="n">
        <v>46261</v>
      </c>
      <c r="F35" t="inlineStr">
        <is>
          <t>NORRBOTTENS LÄN</t>
        </is>
      </c>
      <c r="G35" t="inlineStr">
        <is>
          <t>KIRUNA</t>
        </is>
      </c>
      <c r="I35" t="n">
        <v>10.2</v>
      </c>
      <c r="J35" t="n">
        <v>0</v>
      </c>
      <c r="K35" t="n">
        <v>0</v>
      </c>
      <c r="L35" t="n">
        <v>0</v>
      </c>
      <c r="M35" t="n">
        <v>0</v>
      </c>
      <c r="N35" t="n">
        <v>0</v>
      </c>
      <c r="O35" t="n">
        <v>0</v>
      </c>
      <c r="P35" t="n">
        <v>0</v>
      </c>
      <c r="Q35" t="n">
        <v>0</v>
      </c>
      <c r="R35" t="n">
        <v>0</v>
      </c>
      <c r="S35" t="n">
        <v>0</v>
      </c>
      <c r="T35" t="n">
        <v>0</v>
      </c>
      <c r="U35" t="n">
        <v>0</v>
      </c>
      <c r="V35" s="2" t="inlineStr"/>
    </row>
    <row r="36" ht="15" customHeight="1">
      <c r="A36" t="inlineStr">
        <is>
          <t>A 50590-2023</t>
        </is>
      </c>
      <c r="B36" t="inlineStr">
        <is>
          <t>avverkningsanmälan</t>
        </is>
      </c>
      <c r="C36" t="inlineStr">
        <is>
          <t>Föryngringsavverkning</t>
        </is>
      </c>
      <c r="D36" s="1" t="n">
        <v>45217</v>
      </c>
      <c r="E36" s="1" t="n">
        <v>46261</v>
      </c>
      <c r="F36" t="inlineStr">
        <is>
          <t>NORRBOTTENS LÄN</t>
        </is>
      </c>
      <c r="G36" t="inlineStr">
        <is>
          <t>KIRUNA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2664-2026</t>
        </is>
      </c>
      <c r="B37" t="inlineStr">
        <is>
          <t>avverkningsanmälan</t>
        </is>
      </c>
      <c r="C37" t="inlineStr">
        <is>
          <t>Föryngringsavverkning</t>
        </is>
      </c>
      <c r="D37" s="1" t="n">
        <v>46037</v>
      </c>
      <c r="E37" s="1" t="n">
        <v>46261</v>
      </c>
      <c r="F37" t="inlineStr">
        <is>
          <t>NORRBOTTENS LÄN</t>
        </is>
      </c>
      <c r="G37" t="inlineStr">
        <is>
          <t>KIRUNA</t>
        </is>
      </c>
      <c r="I37" t="n">
        <v>31.3</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46261</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9069-2023</t>
        </is>
      </c>
      <c r="B39" t="inlineStr">
        <is>
          <t>avverkningsanmälan</t>
        </is>
      </c>
      <c r="C39" t="inlineStr">
        <is>
          <t>Föryngringsavverkning</t>
        </is>
      </c>
      <c r="D39" s="1" t="n">
        <v>44979</v>
      </c>
      <c r="E39" s="1" t="n">
        <v>46261</v>
      </c>
      <c r="F39" t="inlineStr">
        <is>
          <t>NORRBOTTENS LÄN</t>
        </is>
      </c>
      <c r="G39" t="inlineStr">
        <is>
          <t>KIRUNA</t>
        </is>
      </c>
      <c r="H39" t="inlineStr">
        <is>
          <t>SCA</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34664-2025</t>
        </is>
      </c>
      <c r="B40" t="inlineStr">
        <is>
          <t>avverkningsanmälan</t>
        </is>
      </c>
      <c r="C40" t="inlineStr">
        <is>
          <t>Föryngringsavverkning</t>
        </is>
      </c>
      <c r="D40" s="1" t="n">
        <v>45848</v>
      </c>
      <c r="E40" s="1" t="n">
        <v>46261</v>
      </c>
      <c r="F40" t="inlineStr">
        <is>
          <t>NORRBOTTENS LÄN</t>
        </is>
      </c>
      <c r="G40" t="inlineStr">
        <is>
          <t>KIRUNA</t>
        </is>
      </c>
      <c r="I40" t="n">
        <v>8.4</v>
      </c>
      <c r="J40" t="n">
        <v>0</v>
      </c>
      <c r="K40" t="n">
        <v>0</v>
      </c>
      <c r="L40" t="n">
        <v>0</v>
      </c>
      <c r="M40" t="n">
        <v>0</v>
      </c>
      <c r="N40" t="n">
        <v>0</v>
      </c>
      <c r="O40" t="n">
        <v>0</v>
      </c>
      <c r="P40" t="n">
        <v>0</v>
      </c>
      <c r="Q40" t="n">
        <v>0</v>
      </c>
      <c r="R40" t="n">
        <v>0</v>
      </c>
      <c r="S40" t="n">
        <v>0</v>
      </c>
      <c r="T40" t="n">
        <v>0</v>
      </c>
      <c r="U40" t="n">
        <v>0</v>
      </c>
      <c r="V40" s="2" t="inlineStr"/>
    </row>
    <row r="41" ht="15" customHeight="1">
      <c r="A41" t="inlineStr">
        <is>
          <t>A 34663-2025</t>
        </is>
      </c>
      <c r="B41" t="inlineStr">
        <is>
          <t>avverkningsanmälan</t>
        </is>
      </c>
      <c r="C41" t="inlineStr">
        <is>
          <t>Föryngringsavverkning</t>
        </is>
      </c>
      <c r="D41" s="1" t="n">
        <v>45848</v>
      </c>
      <c r="E41" s="1" t="n">
        <v>46261</v>
      </c>
      <c r="F41" t="inlineStr">
        <is>
          <t>NORRBOTTENS LÄN</t>
        </is>
      </c>
      <c r="G41" t="inlineStr">
        <is>
          <t>KIRUNA</t>
        </is>
      </c>
      <c r="I41" t="n">
        <v>5.1</v>
      </c>
      <c r="J41" t="n">
        <v>0</v>
      </c>
      <c r="K41" t="n">
        <v>0</v>
      </c>
      <c r="L41" t="n">
        <v>0</v>
      </c>
      <c r="M41" t="n">
        <v>0</v>
      </c>
      <c r="N41" t="n">
        <v>0</v>
      </c>
      <c r="O41" t="n">
        <v>0</v>
      </c>
      <c r="P41" t="n">
        <v>0</v>
      </c>
      <c r="Q41" t="n">
        <v>0</v>
      </c>
      <c r="R41" t="n">
        <v>0</v>
      </c>
      <c r="S41" t="n">
        <v>0</v>
      </c>
      <c r="T41" t="n">
        <v>0</v>
      </c>
      <c r="U41" t="n">
        <v>0</v>
      </c>
      <c r="V41" s="2" t="inlineStr"/>
    </row>
    <row r="42" ht="15" customHeight="1">
      <c r="A42" t="inlineStr">
        <is>
          <t>A 13405-2026</t>
        </is>
      </c>
      <c r="B42" t="inlineStr">
        <is>
          <t>avverkningsanmälan</t>
        </is>
      </c>
      <c r="C42" t="inlineStr">
        <is>
          <t>Föryngringsavverkning</t>
        </is>
      </c>
      <c r="D42" s="1" t="n">
        <v>46094</v>
      </c>
      <c r="E42" s="1" t="n">
        <v>46261</v>
      </c>
      <c r="F42" t="inlineStr">
        <is>
          <t>NORRBOTTENS LÄN</t>
        </is>
      </c>
      <c r="G42" t="inlineStr">
        <is>
          <t>KIRUNA</t>
        </is>
      </c>
      <c r="I42" t="n">
        <v>24.5</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46261</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16197-2026</t>
        </is>
      </c>
      <c r="B44" t="inlineStr">
        <is>
          <t>avverkningsanmälan</t>
        </is>
      </c>
      <c r="C44" t="inlineStr">
        <is>
          <t>Avverkning för annat ändamål</t>
        </is>
      </c>
      <c r="D44" s="1" t="n">
        <v>46108</v>
      </c>
      <c r="E44" s="1" t="n">
        <v>46261</v>
      </c>
      <c r="F44" t="inlineStr">
        <is>
          <t>NORRBOTTENS LÄN</t>
        </is>
      </c>
      <c r="G44" t="inlineStr">
        <is>
          <t>KIRUNA</t>
        </is>
      </c>
      <c r="H44" t="inlineStr">
        <is>
          <t>Övriga statliga verk och myndigheter</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62439-2022</t>
        </is>
      </c>
      <c r="B45" t="inlineStr">
        <is>
          <t>avverkningsanmälan</t>
        </is>
      </c>
      <c r="C45" t="inlineStr">
        <is>
          <t>Föryngringsavverkning</t>
        </is>
      </c>
      <c r="D45" s="1" t="n">
        <v>44916</v>
      </c>
      <c r="E45" s="1" t="n">
        <v>46261</v>
      </c>
      <c r="F45" t="inlineStr">
        <is>
          <t>NORRBOTTENS LÄN</t>
        </is>
      </c>
      <c r="G45" t="inlineStr">
        <is>
          <t>KIRUNA</t>
        </is>
      </c>
      <c r="I45" t="n">
        <v>3.2</v>
      </c>
      <c r="J45" t="n">
        <v>0</v>
      </c>
      <c r="K45" t="n">
        <v>0</v>
      </c>
      <c r="L45" t="n">
        <v>0</v>
      </c>
      <c r="M45" t="n">
        <v>0</v>
      </c>
      <c r="N45" t="n">
        <v>0</v>
      </c>
      <c r="O45" t="n">
        <v>0</v>
      </c>
      <c r="P45" t="n">
        <v>0</v>
      </c>
      <c r="Q45" t="n">
        <v>0</v>
      </c>
      <c r="R45" t="n">
        <v>0</v>
      </c>
      <c r="S45" t="n">
        <v>0</v>
      </c>
      <c r="T45" t="n">
        <v>0</v>
      </c>
      <c r="U45" t="n">
        <v>0</v>
      </c>
      <c r="V45" s="2" t="inlineStr"/>
    </row>
    <row r="46" ht="15" customHeight="1">
      <c r="A46" t="inlineStr">
        <is>
          <t>A 18388-2026</t>
        </is>
      </c>
      <c r="B46" t="inlineStr">
        <is>
          <t>avverkningsanmälan</t>
        </is>
      </c>
      <c r="C46" t="inlineStr">
        <is>
          <t>Föryngringsavverkning</t>
        </is>
      </c>
      <c r="D46" s="1" t="n">
        <v>46126</v>
      </c>
      <c r="E46" s="1" t="n">
        <v>46261</v>
      </c>
      <c r="F46" t="inlineStr">
        <is>
          <t>NORRBOTTENS LÄN</t>
        </is>
      </c>
      <c r="G46" t="inlineStr">
        <is>
          <t>KIRUNA</t>
        </is>
      </c>
      <c r="I46" t="n">
        <v>5.2</v>
      </c>
      <c r="J46" t="n">
        <v>0</v>
      </c>
      <c r="K46" t="n">
        <v>0</v>
      </c>
      <c r="L46" t="n">
        <v>0</v>
      </c>
      <c r="M46" t="n">
        <v>0</v>
      </c>
      <c r="N46" t="n">
        <v>0</v>
      </c>
      <c r="O46" t="n">
        <v>0</v>
      </c>
      <c r="P46" t="n">
        <v>0</v>
      </c>
      <c r="Q46" t="n">
        <v>0</v>
      </c>
      <c r="R46" t="n">
        <v>0</v>
      </c>
      <c r="S46" t="n">
        <v>0</v>
      </c>
      <c r="T46" t="n">
        <v>0</v>
      </c>
      <c r="U46" t="n">
        <v>0</v>
      </c>
      <c r="V46" s="2" t="inlineStr"/>
    </row>
    <row r="47" ht="15" customHeight="1">
      <c r="A47" t="inlineStr">
        <is>
          <t>A 12937-2026</t>
        </is>
      </c>
      <c r="B47" t="inlineStr">
        <is>
          <t>avverkningsanmälan</t>
        </is>
      </c>
      <c r="C47" t="inlineStr">
        <is>
          <t>Föryngringsavverkning</t>
        </is>
      </c>
      <c r="D47" s="1" t="n">
        <v>46092</v>
      </c>
      <c r="E47" s="1" t="n">
        <v>46261</v>
      </c>
      <c r="F47" t="inlineStr">
        <is>
          <t>NORRBOTTENS LÄN</t>
        </is>
      </c>
      <c r="G47" t="inlineStr">
        <is>
          <t>KIRUNA</t>
        </is>
      </c>
      <c r="I47" t="n">
        <v>37.2</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46261</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46261</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12984-2026</t>
        </is>
      </c>
      <c r="B50" t="inlineStr">
        <is>
          <t>avverkningsanmälan</t>
        </is>
      </c>
      <c r="C50" t="inlineStr">
        <is>
          <t>Föryngringsavverkning</t>
        </is>
      </c>
      <c r="D50" s="1" t="n">
        <v>46092</v>
      </c>
      <c r="E50" s="1" t="n">
        <v>46261</v>
      </c>
      <c r="F50" t="inlineStr">
        <is>
          <t>NORRBOTTENS LÄN</t>
        </is>
      </c>
      <c r="G50" t="inlineStr">
        <is>
          <t>KIRUNA</t>
        </is>
      </c>
      <c r="I50" t="n">
        <v>18.2</v>
      </c>
      <c r="J50" t="n">
        <v>0</v>
      </c>
      <c r="K50" t="n">
        <v>0</v>
      </c>
      <c r="L50" t="n">
        <v>0</v>
      </c>
      <c r="M50" t="n">
        <v>0</v>
      </c>
      <c r="N50" t="n">
        <v>0</v>
      </c>
      <c r="O50" t="n">
        <v>0</v>
      </c>
      <c r="P50" t="n">
        <v>0</v>
      </c>
      <c r="Q50" t="n">
        <v>0</v>
      </c>
      <c r="R50" t="n">
        <v>0</v>
      </c>
      <c r="S50" t="n">
        <v>0</v>
      </c>
      <c r="T50" t="n">
        <v>0</v>
      </c>
      <c r="U50" t="n">
        <v>0</v>
      </c>
      <c r="V50" s="2" t="inlineStr"/>
    </row>
    <row r="51" ht="15" customHeight="1">
      <c r="A51" t="inlineStr">
        <is>
          <t>A 12969-2026</t>
        </is>
      </c>
      <c r="B51" t="inlineStr">
        <is>
          <t>avverkningsanmälan</t>
        </is>
      </c>
      <c r="C51" t="inlineStr">
        <is>
          <t>Föryngringsavverkning</t>
        </is>
      </c>
      <c r="D51" s="1" t="n">
        <v>46092</v>
      </c>
      <c r="E51" s="1" t="n">
        <v>46261</v>
      </c>
      <c r="F51" t="inlineStr">
        <is>
          <t>NORRBOTTENS LÄN</t>
        </is>
      </c>
      <c r="G51" t="inlineStr">
        <is>
          <t>KIRUNA</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22504-2024</t>
        </is>
      </c>
      <c r="B52" t="inlineStr">
        <is>
          <t>avverkningsanmälan</t>
        </is>
      </c>
      <c r="C52" t="inlineStr">
        <is>
          <t>Föryngringsavverkning</t>
        </is>
      </c>
      <c r="D52" s="1" t="n">
        <v>45447</v>
      </c>
      <c r="E52" s="1" t="n">
        <v>46261</v>
      </c>
      <c r="F52" t="inlineStr">
        <is>
          <t>NORRBOTTENS LÄN</t>
        </is>
      </c>
      <c r="G52" t="inlineStr">
        <is>
          <t>KIRUNA</t>
        </is>
      </c>
      <c r="I52" t="n">
        <v>15.6</v>
      </c>
      <c r="J52" t="n">
        <v>0</v>
      </c>
      <c r="K52" t="n">
        <v>0</v>
      </c>
      <c r="L52" t="n">
        <v>0</v>
      </c>
      <c r="M52" t="n">
        <v>0</v>
      </c>
      <c r="N52" t="n">
        <v>0</v>
      </c>
      <c r="O52" t="n">
        <v>0</v>
      </c>
      <c r="P52" t="n">
        <v>0</v>
      </c>
      <c r="Q52" t="n">
        <v>0</v>
      </c>
      <c r="R52" t="n">
        <v>0</v>
      </c>
      <c r="S52" t="n">
        <v>0</v>
      </c>
      <c r="T52" t="n">
        <v>0</v>
      </c>
      <c r="U52" t="n">
        <v>0</v>
      </c>
      <c r="V52" s="2" t="inlineStr"/>
    </row>
    <row r="53" ht="15" customHeight="1">
      <c r="A53" t="inlineStr">
        <is>
          <t>A 5476-2024</t>
        </is>
      </c>
      <c r="B53" t="inlineStr">
        <is>
          <t>avverkningsanmälan</t>
        </is>
      </c>
      <c r="C53" t="inlineStr">
        <is>
          <t>Föryngringsavverkning</t>
        </is>
      </c>
      <c r="D53" s="1" t="n">
        <v>45333</v>
      </c>
      <c r="E53" s="1" t="n">
        <v>46261</v>
      </c>
      <c r="F53" t="inlineStr">
        <is>
          <t>NORRBOTTENS LÄN</t>
        </is>
      </c>
      <c r="G53" t="inlineStr">
        <is>
          <t>KIRUNA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49704-2024</t>
        </is>
      </c>
      <c r="B54" t="inlineStr">
        <is>
          <t>avverkningsanmälan</t>
        </is>
      </c>
      <c r="C54" t="inlineStr">
        <is>
          <t>Föryngringsavverkning</t>
        </is>
      </c>
      <c r="D54" s="1" t="n">
        <v>45596</v>
      </c>
      <c r="E54" s="1" t="n">
        <v>46261</v>
      </c>
      <c r="F54" t="inlineStr">
        <is>
          <t>NORRBOTTENS LÄN</t>
        </is>
      </c>
      <c r="G54" t="inlineStr">
        <is>
          <t>KIRUNA</t>
        </is>
      </c>
      <c r="I54" t="n">
        <v>17.4</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46261</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18721-2024</t>
        </is>
      </c>
      <c r="B56" t="inlineStr">
        <is>
          <t>avverkningsanmälan</t>
        </is>
      </c>
      <c r="C56" t="inlineStr">
        <is>
          <t>Föryngringsavverkning</t>
        </is>
      </c>
      <c r="D56" s="1" t="n">
        <v>45426</v>
      </c>
      <c r="E56" s="1" t="n">
        <v>46261</v>
      </c>
      <c r="F56" t="inlineStr">
        <is>
          <t>NORRBOTTENS LÄN</t>
        </is>
      </c>
      <c r="G56" t="inlineStr">
        <is>
          <t>KIRUNA</t>
        </is>
      </c>
      <c r="I56" t="n">
        <v>62.1</v>
      </c>
      <c r="J56" t="n">
        <v>0</v>
      </c>
      <c r="K56" t="n">
        <v>0</v>
      </c>
      <c r="L56" t="n">
        <v>0</v>
      </c>
      <c r="M56" t="n">
        <v>0</v>
      </c>
      <c r="N56" t="n">
        <v>0</v>
      </c>
      <c r="O56" t="n">
        <v>0</v>
      </c>
      <c r="P56" t="n">
        <v>0</v>
      </c>
      <c r="Q56" t="n">
        <v>0</v>
      </c>
      <c r="R56" t="n">
        <v>0</v>
      </c>
      <c r="S56" t="n">
        <v>0</v>
      </c>
      <c r="T56" t="n">
        <v>0</v>
      </c>
      <c r="U56" t="n">
        <v>0</v>
      </c>
      <c r="V56" s="2" t="inlineStr"/>
    </row>
    <row r="57" ht="15" customHeight="1">
      <c r="A57" t="inlineStr">
        <is>
          <t>A 9068-2023</t>
        </is>
      </c>
      <c r="B57" t="inlineStr">
        <is>
          <t>avverkningsanmälan</t>
        </is>
      </c>
      <c r="C57" t="inlineStr">
        <is>
          <t>Föryngringsavverkning</t>
        </is>
      </c>
      <c r="D57" s="1" t="n">
        <v>44979</v>
      </c>
      <c r="E57" s="1" t="n">
        <v>46261</v>
      </c>
      <c r="F57" t="inlineStr">
        <is>
          <t>NORRBOTTENS LÄN</t>
        </is>
      </c>
      <c r="G57" t="inlineStr">
        <is>
          <t>KIRUNA</t>
        </is>
      </c>
      <c r="H57" t="inlineStr">
        <is>
          <t>SCA</t>
        </is>
      </c>
      <c r="I57" t="n">
        <v>4.6</v>
      </c>
      <c r="J57" t="n">
        <v>0</v>
      </c>
      <c r="K57" t="n">
        <v>0</v>
      </c>
      <c r="L57" t="n">
        <v>0</v>
      </c>
      <c r="M57" t="n">
        <v>0</v>
      </c>
      <c r="N57" t="n">
        <v>0</v>
      </c>
      <c r="O57" t="n">
        <v>0</v>
      </c>
      <c r="P57" t="n">
        <v>0</v>
      </c>
      <c r="Q57" t="n">
        <v>0</v>
      </c>
      <c r="R57" t="n">
        <v>0</v>
      </c>
      <c r="S57" t="n">
        <v>0</v>
      </c>
      <c r="T57" t="n">
        <v>0</v>
      </c>
      <c r="U57" t="n">
        <v>0</v>
      </c>
      <c r="V57" s="2" t="inlineStr"/>
    </row>
    <row r="58" ht="15" customHeight="1">
      <c r="A58" t="inlineStr">
        <is>
          <t>A 23469-2022</t>
        </is>
      </c>
      <c r="B58" t="inlineStr">
        <is>
          <t>avverkningsanmälan</t>
        </is>
      </c>
      <c r="C58" t="inlineStr">
        <is>
          <t>Föryngringsavverkning</t>
        </is>
      </c>
      <c r="D58" s="1" t="n">
        <v>44721</v>
      </c>
      <c r="E58" s="1" t="n">
        <v>46261</v>
      </c>
      <c r="F58" t="inlineStr">
        <is>
          <t>NORRBOTTENS LÄN</t>
        </is>
      </c>
      <c r="G58" t="inlineStr">
        <is>
          <t>KIRUNA</t>
        </is>
      </c>
      <c r="I58" t="n">
        <v>11.8</v>
      </c>
      <c r="J58" t="n">
        <v>0</v>
      </c>
      <c r="K58" t="n">
        <v>0</v>
      </c>
      <c r="L58" t="n">
        <v>0</v>
      </c>
      <c r="M58" t="n">
        <v>0</v>
      </c>
      <c r="N58" t="n">
        <v>0</v>
      </c>
      <c r="O58" t="n">
        <v>0</v>
      </c>
      <c r="P58" t="n">
        <v>0</v>
      </c>
      <c r="Q58" t="n">
        <v>0</v>
      </c>
      <c r="R58" t="n">
        <v>0</v>
      </c>
      <c r="S58" t="n">
        <v>0</v>
      </c>
      <c r="T58" t="n">
        <v>0</v>
      </c>
      <c r="U58" t="n">
        <v>0</v>
      </c>
      <c r="V58" s="2" t="inlineStr"/>
    </row>
    <row r="59" ht="15" customHeight="1">
      <c r="A59" t="inlineStr">
        <is>
          <t>A 62452-2022</t>
        </is>
      </c>
      <c r="B59" t="inlineStr">
        <is>
          <t>avverkningsanmälan</t>
        </is>
      </c>
      <c r="C59" t="inlineStr">
        <is>
          <t>Föryngringsavverkning</t>
        </is>
      </c>
      <c r="D59" s="1" t="n">
        <v>44916</v>
      </c>
      <c r="E59" s="1" t="n">
        <v>46261</v>
      </c>
      <c r="F59" t="inlineStr">
        <is>
          <t>NORRBOTTENS LÄN</t>
        </is>
      </c>
      <c r="G59" t="inlineStr">
        <is>
          <t>KIRUNA</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62460-2022</t>
        </is>
      </c>
      <c r="B60" t="inlineStr">
        <is>
          <t>avverkningsanmälan</t>
        </is>
      </c>
      <c r="C60" t="inlineStr">
        <is>
          <t>Föryngringsavverkning</t>
        </is>
      </c>
      <c r="D60" s="1" t="n">
        <v>44916</v>
      </c>
      <c r="E60" s="1" t="n">
        <v>46261</v>
      </c>
      <c r="F60" t="inlineStr">
        <is>
          <t>NORRBOTTENS LÄN</t>
        </is>
      </c>
      <c r="G60" t="inlineStr">
        <is>
          <t>KIRUNA</t>
        </is>
      </c>
      <c r="I60" t="n">
        <v>13.4</v>
      </c>
      <c r="J60" t="n">
        <v>0</v>
      </c>
      <c r="K60" t="n">
        <v>0</v>
      </c>
      <c r="L60" t="n">
        <v>0</v>
      </c>
      <c r="M60" t="n">
        <v>0</v>
      </c>
      <c r="N60" t="n">
        <v>0</v>
      </c>
      <c r="O60" t="n">
        <v>0</v>
      </c>
      <c r="P60" t="n">
        <v>0</v>
      </c>
      <c r="Q60" t="n">
        <v>0</v>
      </c>
      <c r="R60" t="n">
        <v>0</v>
      </c>
      <c r="S60" t="n">
        <v>0</v>
      </c>
      <c r="T60" t="n">
        <v>0</v>
      </c>
      <c r="U60" t="n">
        <v>0</v>
      </c>
      <c r="V60" s="2" t="inlineStr"/>
    </row>
    <row r="61" ht="15" customHeight="1">
      <c r="A61" t="inlineStr">
        <is>
          <t>A 47730-2024</t>
        </is>
      </c>
      <c r="B61" t="inlineStr">
        <is>
          <t>avverkningsanmälan</t>
        </is>
      </c>
      <c r="C61" t="inlineStr">
        <is>
          <t>Föryngringsavverkning</t>
        </is>
      </c>
      <c r="D61" s="1" t="n">
        <v>45588</v>
      </c>
      <c r="E61" s="1" t="n">
        <v>46261</v>
      </c>
      <c r="F61" t="inlineStr">
        <is>
          <t>NORRBOTTENS LÄN</t>
        </is>
      </c>
      <c r="G61" t="inlineStr">
        <is>
          <t>KIRUNA</t>
        </is>
      </c>
      <c r="H61" t="inlineStr">
        <is>
          <t>Allmännings- och besparingsskogar</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36939-2022</t>
        </is>
      </c>
      <c r="B62" t="inlineStr">
        <is>
          <t>avverkningsanmälan</t>
        </is>
      </c>
      <c r="C62" t="inlineStr">
        <is>
          <t>Avverkning för annat ändamål</t>
        </is>
      </c>
      <c r="D62" s="1" t="n">
        <v>44805</v>
      </c>
      <c r="E62" s="1" t="n">
        <v>46261</v>
      </c>
      <c r="F62" t="inlineStr">
        <is>
          <t>NORRBOTTENS LÄN</t>
        </is>
      </c>
      <c r="G62" t="inlineStr">
        <is>
          <t>KIRUNA</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29167-2026</t>
        </is>
      </c>
      <c r="B63" t="inlineStr">
        <is>
          <t>avverkningsanmälan</t>
        </is>
      </c>
      <c r="C63" t="inlineStr">
        <is>
          <t>Föryngringsavverkning</t>
        </is>
      </c>
      <c r="D63" s="1" t="n">
        <v>46202</v>
      </c>
      <c r="E63" s="1" t="n">
        <v>46261</v>
      </c>
      <c r="F63" t="inlineStr">
        <is>
          <t>NORRBOTTENS LÄN</t>
        </is>
      </c>
      <c r="G63" t="inlineStr">
        <is>
          <t>KIRUNA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29048-2026</t>
        </is>
      </c>
      <c r="B64" t="inlineStr">
        <is>
          <t>avverkningsanmälan</t>
        </is>
      </c>
      <c r="C64" t="inlineStr">
        <is>
          <t>Föryngringsavverkning</t>
        </is>
      </c>
      <c r="D64" s="1" t="n">
        <v>46199</v>
      </c>
      <c r="E64" s="1" t="n">
        <v>46261</v>
      </c>
      <c r="F64" t="inlineStr">
        <is>
          <t>NORRBOTTENS LÄN</t>
        </is>
      </c>
      <c r="G64" t="inlineStr">
        <is>
          <t>KIRUNA</t>
        </is>
      </c>
      <c r="I64" t="n">
        <v>16.9</v>
      </c>
      <c r="J64" t="n">
        <v>0</v>
      </c>
      <c r="K64" t="n">
        <v>0</v>
      </c>
      <c r="L64" t="n">
        <v>0</v>
      </c>
      <c r="M64" t="n">
        <v>0</v>
      </c>
      <c r="N64" t="n">
        <v>0</v>
      </c>
      <c r="O64" t="n">
        <v>0</v>
      </c>
      <c r="P64" t="n">
        <v>0</v>
      </c>
      <c r="Q64" t="n">
        <v>0</v>
      </c>
      <c r="R64" t="n">
        <v>0</v>
      </c>
      <c r="S64" t="n">
        <v>0</v>
      </c>
      <c r="T64" t="n">
        <v>0</v>
      </c>
      <c r="U64" t="n">
        <v>0</v>
      </c>
      <c r="V64" s="2" t="inlineStr"/>
    </row>
    <row r="65" ht="15" customHeight="1">
      <c r="A65" t="inlineStr">
        <is>
          <t>A 29231-2026</t>
        </is>
      </c>
      <c r="B65" t="inlineStr">
        <is>
          <t>avverkningsanmälan</t>
        </is>
      </c>
      <c r="C65" t="inlineStr">
        <is>
          <t>Föryngringsavverkning</t>
        </is>
      </c>
      <c r="D65" s="1" t="n">
        <v>46202</v>
      </c>
      <c r="E65" s="1" t="n">
        <v>46261</v>
      </c>
      <c r="F65" t="inlineStr">
        <is>
          <t>NORRBOTTENS LÄN</t>
        </is>
      </c>
      <c r="G65" t="inlineStr">
        <is>
          <t>KIRUNA</t>
        </is>
      </c>
      <c r="I65" t="n">
        <v>10.7</v>
      </c>
      <c r="J65" t="n">
        <v>0</v>
      </c>
      <c r="K65" t="n">
        <v>0</v>
      </c>
      <c r="L65" t="n">
        <v>0</v>
      </c>
      <c r="M65" t="n">
        <v>0</v>
      </c>
      <c r="N65" t="n">
        <v>0</v>
      </c>
      <c r="O65" t="n">
        <v>0</v>
      </c>
      <c r="P65" t="n">
        <v>0</v>
      </c>
      <c r="Q65" t="n">
        <v>0</v>
      </c>
      <c r="R65" t="n">
        <v>0</v>
      </c>
      <c r="S65" t="n">
        <v>0</v>
      </c>
      <c r="T65" t="n">
        <v>0</v>
      </c>
      <c r="U65" t="n">
        <v>0</v>
      </c>
      <c r="V65" s="2" t="inlineStr"/>
    </row>
    <row r="66" ht="15" customHeight="1">
      <c r="A66" t="inlineStr">
        <is>
          <t>A 30562-2026</t>
        </is>
      </c>
      <c r="B66" t="inlineStr">
        <is>
          <t>avverkningsanmälan</t>
        </is>
      </c>
      <c r="C66" t="inlineStr">
        <is>
          <t>Föryngringsavverkning</t>
        </is>
      </c>
      <c r="D66" s="1" t="n">
        <v>46210</v>
      </c>
      <c r="E66" s="1" t="n">
        <v>46261</v>
      </c>
      <c r="F66" t="inlineStr">
        <is>
          <t>NORRBOTTENS LÄN</t>
        </is>
      </c>
      <c r="G66" t="inlineStr">
        <is>
          <t>KIRUNA</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30594-2026</t>
        </is>
      </c>
      <c r="B67" t="inlineStr">
        <is>
          <t>avverkningsanmälan</t>
        </is>
      </c>
      <c r="C67" t="inlineStr">
        <is>
          <t>Föryngringsavverkning</t>
        </is>
      </c>
      <c r="D67" s="1" t="n">
        <v>46210</v>
      </c>
      <c r="E67" s="1" t="n">
        <v>46261</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38577-2024</t>
        </is>
      </c>
      <c r="B68" t="inlineStr">
        <is>
          <t>avverkningsanmälan</t>
        </is>
      </c>
      <c r="C68" t="inlineStr">
        <is>
          <t>Föryngringsavverkning</t>
        </is>
      </c>
      <c r="D68" s="1" t="n">
        <v>45546</v>
      </c>
      <c r="E68" s="1" t="n">
        <v>46261</v>
      </c>
      <c r="F68" t="inlineStr">
        <is>
          <t>NORRBOTTENS LÄN</t>
        </is>
      </c>
      <c r="G68" t="inlineStr">
        <is>
          <t>KIRUNA</t>
        </is>
      </c>
      <c r="I68" t="n">
        <v>39.8</v>
      </c>
      <c r="J68" t="n">
        <v>0</v>
      </c>
      <c r="K68" t="n">
        <v>0</v>
      </c>
      <c r="L68" t="n">
        <v>0</v>
      </c>
      <c r="M68" t="n">
        <v>0</v>
      </c>
      <c r="N68" t="n">
        <v>0</v>
      </c>
      <c r="O68" t="n">
        <v>0</v>
      </c>
      <c r="P68" t="n">
        <v>0</v>
      </c>
      <c r="Q68" t="n">
        <v>0</v>
      </c>
      <c r="R68" t="n">
        <v>0</v>
      </c>
      <c r="S68" t="n">
        <v>0</v>
      </c>
      <c r="T68" t="n">
        <v>0</v>
      </c>
      <c r="U68" t="n">
        <v>0</v>
      </c>
      <c r="V68" s="2" t="inlineStr"/>
    </row>
    <row r="69" ht="15" customHeight="1">
      <c r="A69" t="inlineStr">
        <is>
          <t>A 30591-2026</t>
        </is>
      </c>
      <c r="B69" t="inlineStr">
        <is>
          <t>avverkningsanmälan</t>
        </is>
      </c>
      <c r="C69" t="inlineStr">
        <is>
          <t>Föryngringsavverkning</t>
        </is>
      </c>
      <c r="D69" s="1" t="n">
        <v>46210</v>
      </c>
      <c r="E69" s="1" t="n">
        <v>46261</v>
      </c>
      <c r="F69" t="inlineStr">
        <is>
          <t>NORRBOTTENS LÄN</t>
        </is>
      </c>
      <c r="G69" t="inlineStr">
        <is>
          <t>KIRUNA</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13526-2024</t>
        </is>
      </c>
      <c r="B70" t="inlineStr">
        <is>
          <t>avverkningsanmälan</t>
        </is>
      </c>
      <c r="C70" t="inlineStr">
        <is>
          <t>Föryngringsavverkning</t>
        </is>
      </c>
      <c r="D70" s="1" t="n">
        <v>45387</v>
      </c>
      <c r="E70" s="1" t="n">
        <v>46261</v>
      </c>
      <c r="F70" t="inlineStr">
        <is>
          <t>NORRBOTTENS LÄN</t>
        </is>
      </c>
      <c r="G70" t="inlineStr">
        <is>
          <t>KIRUNA</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28533-2026</t>
        </is>
      </c>
      <c r="B71" t="inlineStr">
        <is>
          <t>avverkningsanmälan</t>
        </is>
      </c>
      <c r="C71" t="inlineStr">
        <is>
          <t>Föryngringsavverkning</t>
        </is>
      </c>
      <c r="D71" s="1" t="n">
        <v>46197</v>
      </c>
      <c r="E71" s="1" t="n">
        <v>46261</v>
      </c>
      <c r="F71" t="inlineStr">
        <is>
          <t>NORRBOTTENS LÄN</t>
        </is>
      </c>
      <c r="G71" t="inlineStr">
        <is>
          <t>KIRUNA</t>
        </is>
      </c>
      <c r="I71" t="n">
        <v>54.2</v>
      </c>
      <c r="J71" t="n">
        <v>0</v>
      </c>
      <c r="K71" t="n">
        <v>0</v>
      </c>
      <c r="L71" t="n">
        <v>0</v>
      </c>
      <c r="M71" t="n">
        <v>0</v>
      </c>
      <c r="N71" t="n">
        <v>0</v>
      </c>
      <c r="O71" t="n">
        <v>0</v>
      </c>
      <c r="P71" t="n">
        <v>0</v>
      </c>
      <c r="Q71" t="n">
        <v>0</v>
      </c>
      <c r="R71" t="n">
        <v>0</v>
      </c>
      <c r="S71" t="n">
        <v>0</v>
      </c>
      <c r="T71" t="n">
        <v>0</v>
      </c>
      <c r="U71" t="n">
        <v>0</v>
      </c>
      <c r="V71" s="2" t="inlineStr"/>
    </row>
    <row r="72" ht="15" customHeight="1">
      <c r="A72" t="inlineStr">
        <is>
          <t>A 39247-2023</t>
        </is>
      </c>
      <c r="B72" t="inlineStr">
        <is>
          <t>avverkningsanmälan</t>
        </is>
      </c>
      <c r="C72" t="inlineStr">
        <is>
          <t>Föryngringsavverkning</t>
        </is>
      </c>
      <c r="D72" s="1" t="n">
        <v>45162</v>
      </c>
      <c r="E72" s="1" t="n">
        <v>46261</v>
      </c>
      <c r="F72" t="inlineStr">
        <is>
          <t>NORRBOTTENS LÄN</t>
        </is>
      </c>
      <c r="G72" t="inlineStr">
        <is>
          <t>KIRUNA</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21268-2026</t>
        </is>
      </c>
      <c r="B73" t="inlineStr">
        <is>
          <t>avverkningsanmälan</t>
        </is>
      </c>
      <c r="C73" t="inlineStr">
        <is>
          <t>Föryngringsavverkning</t>
        </is>
      </c>
      <c r="D73" s="1" t="n">
        <v>46147</v>
      </c>
      <c r="E73" s="1" t="n">
        <v>46261</v>
      </c>
      <c r="F73" t="inlineStr">
        <is>
          <t>NORRBOTTENS LÄN</t>
        </is>
      </c>
      <c r="G73" t="inlineStr">
        <is>
          <t>KIRUNA</t>
        </is>
      </c>
      <c r="I73" t="n">
        <v>35.7</v>
      </c>
      <c r="J73" t="n">
        <v>0</v>
      </c>
      <c r="K73" t="n">
        <v>0</v>
      </c>
      <c r="L73" t="n">
        <v>0</v>
      </c>
      <c r="M73" t="n">
        <v>0</v>
      </c>
      <c r="N73" t="n">
        <v>0</v>
      </c>
      <c r="O73" t="n">
        <v>0</v>
      </c>
      <c r="P73" t="n">
        <v>0</v>
      </c>
      <c r="Q73" t="n">
        <v>0</v>
      </c>
      <c r="R73" t="n">
        <v>0</v>
      </c>
      <c r="S73" t="n">
        <v>0</v>
      </c>
      <c r="T73" t="n">
        <v>0</v>
      </c>
      <c r="U73" t="n">
        <v>0</v>
      </c>
      <c r="V73" s="2" t="inlineStr"/>
    </row>
    <row r="74" ht="15" customHeight="1">
      <c r="A74" t="inlineStr">
        <is>
          <t>A 20744-2024</t>
        </is>
      </c>
      <c r="B74" t="inlineStr">
        <is>
          <t>avverkningsanmälan</t>
        </is>
      </c>
      <c r="C74" t="inlineStr">
        <is>
          <t>Föryngringsavverkning</t>
        </is>
      </c>
      <c r="D74" s="1" t="n">
        <v>45436</v>
      </c>
      <c r="E74" s="1" t="n">
        <v>46261</v>
      </c>
      <c r="F74" t="inlineStr">
        <is>
          <t>NORRBOTTENS LÄN</t>
        </is>
      </c>
      <c r="G74" t="inlineStr">
        <is>
          <t>KIRUNA</t>
        </is>
      </c>
      <c r="I74" t="n">
        <v>9.699999999999999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46261</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28707-2022</t>
        </is>
      </c>
      <c r="B76" t="inlineStr">
        <is>
          <t>avverkningsanmälan</t>
        </is>
      </c>
      <c r="C76" t="inlineStr">
        <is>
          <t>Föryngringsavverkning</t>
        </is>
      </c>
      <c r="D76" s="1" t="n">
        <v>44748</v>
      </c>
      <c r="E76" s="1" t="n">
        <v>46261</v>
      </c>
      <c r="F76" t="inlineStr">
        <is>
          <t>NORRBOTTENS LÄN</t>
        </is>
      </c>
      <c r="G76" t="inlineStr">
        <is>
          <t>KIRUNA</t>
        </is>
      </c>
      <c r="I76" t="n">
        <v>15.2</v>
      </c>
      <c r="J76" t="n">
        <v>0</v>
      </c>
      <c r="K76" t="n">
        <v>0</v>
      </c>
      <c r="L76" t="n">
        <v>0</v>
      </c>
      <c r="M76" t="n">
        <v>0</v>
      </c>
      <c r="N76" t="n">
        <v>0</v>
      </c>
      <c r="O76" t="n">
        <v>0</v>
      </c>
      <c r="P76" t="n">
        <v>0</v>
      </c>
      <c r="Q76" t="n">
        <v>0</v>
      </c>
      <c r="R76" t="n">
        <v>0</v>
      </c>
      <c r="S76" t="n">
        <v>0</v>
      </c>
      <c r="T76" t="n">
        <v>0</v>
      </c>
      <c r="U76" t="n">
        <v>0</v>
      </c>
      <c r="V76" s="2" t="inlineStr"/>
    </row>
    <row r="77" ht="15" customHeight="1">
      <c r="A77" t="inlineStr">
        <is>
          <t>A 39006-2023</t>
        </is>
      </c>
      <c r="B77" t="inlineStr">
        <is>
          <t>avverkningsanmälan</t>
        </is>
      </c>
      <c r="C77" t="inlineStr">
        <is>
          <t>Avverkning för annat ändamål</t>
        </is>
      </c>
      <c r="D77" s="1" t="n">
        <v>45162</v>
      </c>
      <c r="E77" s="1" t="n">
        <v>46261</v>
      </c>
      <c r="F77" t="inlineStr">
        <is>
          <t>NORRBOTTENS LÄN</t>
        </is>
      </c>
      <c r="G77" t="inlineStr">
        <is>
          <t>KIRUNA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39271-2023</t>
        </is>
      </c>
      <c r="B78" t="inlineStr">
        <is>
          <t>avverkningsanmälan</t>
        </is>
      </c>
      <c r="C78" t="inlineStr">
        <is>
          <t>Föryngringsavverkning</t>
        </is>
      </c>
      <c r="D78" s="1" t="n">
        <v>45162</v>
      </c>
      <c r="E78" s="1" t="n">
        <v>46261</v>
      </c>
      <c r="F78" t="inlineStr">
        <is>
          <t>NORRBOTTENS LÄN</t>
        </is>
      </c>
      <c r="G78" t="inlineStr">
        <is>
          <t>KIRUNA</t>
        </is>
      </c>
      <c r="I78" t="n">
        <v>51.9</v>
      </c>
      <c r="J78" t="n">
        <v>0</v>
      </c>
      <c r="K78" t="n">
        <v>0</v>
      </c>
      <c r="L78" t="n">
        <v>0</v>
      </c>
      <c r="M78" t="n">
        <v>0</v>
      </c>
      <c r="N78" t="n">
        <v>0</v>
      </c>
      <c r="O78" t="n">
        <v>0</v>
      </c>
      <c r="P78" t="n">
        <v>0</v>
      </c>
      <c r="Q78" t="n">
        <v>0</v>
      </c>
      <c r="R78" t="n">
        <v>0</v>
      </c>
      <c r="S78" t="n">
        <v>0</v>
      </c>
      <c r="T78" t="n">
        <v>0</v>
      </c>
      <c r="U78" t="n">
        <v>0</v>
      </c>
      <c r="V78" s="2" t="inlineStr"/>
    </row>
    <row r="79" ht="15" customHeight="1">
      <c r="A79" t="inlineStr">
        <is>
          <t>A 93-2024</t>
        </is>
      </c>
      <c r="B79" t="inlineStr">
        <is>
          <t>avverkningsanmälan</t>
        </is>
      </c>
      <c r="C79" t="inlineStr">
        <is>
          <t>Avverkning för annat ändamål</t>
        </is>
      </c>
      <c r="D79" s="1" t="n">
        <v>45293</v>
      </c>
      <c r="E79" s="1" t="n">
        <v>46261</v>
      </c>
      <c r="F79" t="inlineStr">
        <is>
          <t>NORRBOTTENS LÄN</t>
        </is>
      </c>
      <c r="G79" t="inlineStr">
        <is>
          <t>KIRUNA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18737-2023</t>
        </is>
      </c>
      <c r="B80" t="inlineStr">
        <is>
          <t>avverkningsanmälan</t>
        </is>
      </c>
      <c r="C80" t="inlineStr">
        <is>
          <t>Avverkning för annat ändamål</t>
        </is>
      </c>
      <c r="D80" s="1" t="n">
        <v>45042</v>
      </c>
      <c r="E80" s="1" t="n">
        <v>46261</v>
      </c>
      <c r="F80" t="inlineStr">
        <is>
          <t>NORRBOTTENS LÄN</t>
        </is>
      </c>
      <c r="G80" t="inlineStr">
        <is>
          <t>KIRUNA</t>
        </is>
      </c>
      <c r="H80" t="inlineStr">
        <is>
          <t>Sveaskog</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34693-2022</t>
        </is>
      </c>
      <c r="B81" t="inlineStr">
        <is>
          <t>avverkningsanmälan</t>
        </is>
      </c>
      <c r="C81" t="inlineStr">
        <is>
          <t>Föryngringsavverkning</t>
        </is>
      </c>
      <c r="D81" s="1" t="n">
        <v>44795</v>
      </c>
      <c r="E81" s="1" t="n">
        <v>46261</v>
      </c>
      <c r="F81" t="inlineStr">
        <is>
          <t>NORRBOTTENS LÄN</t>
        </is>
      </c>
      <c r="G81" t="inlineStr">
        <is>
          <t>KIRUNA</t>
        </is>
      </c>
      <c r="I81" t="n">
        <v>12.3</v>
      </c>
      <c r="J81" t="n">
        <v>0</v>
      </c>
      <c r="K81" t="n">
        <v>0</v>
      </c>
      <c r="L81" t="n">
        <v>0</v>
      </c>
      <c r="M81" t="n">
        <v>0</v>
      </c>
      <c r="N81" t="n">
        <v>0</v>
      </c>
      <c r="O81" t="n">
        <v>0</v>
      </c>
      <c r="P81" t="n">
        <v>0</v>
      </c>
      <c r="Q81" t="n">
        <v>0</v>
      </c>
      <c r="R81" t="n">
        <v>0</v>
      </c>
      <c r="S81" t="n">
        <v>0</v>
      </c>
      <c r="T81" t="n">
        <v>0</v>
      </c>
      <c r="U81" t="n">
        <v>0</v>
      </c>
      <c r="V81" s="2" t="inlineStr"/>
    </row>
    <row r="82" ht="15" customHeight="1">
      <c r="A82" t="inlineStr">
        <is>
          <t>A 5533-2024</t>
        </is>
      </c>
      <c r="B82" t="inlineStr">
        <is>
          <t>avverkningsanmälan</t>
        </is>
      </c>
      <c r="C82" t="inlineStr">
        <is>
          <t>Avverkning för annat ändamål</t>
        </is>
      </c>
      <c r="D82" s="1" t="n">
        <v>45334</v>
      </c>
      <c r="E82" s="1" t="n">
        <v>46261</v>
      </c>
      <c r="F82" t="inlineStr">
        <is>
          <t>NORRBOTTENS LÄN</t>
        </is>
      </c>
      <c r="G82" t="inlineStr">
        <is>
          <t>KIRUNA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56168-2023</t>
        </is>
      </c>
      <c r="B83" t="inlineStr">
        <is>
          <t>avverkningsanmälan</t>
        </is>
      </c>
      <c r="C83" t="inlineStr">
        <is>
          <t>Avverkning för annat ändamål</t>
        </is>
      </c>
      <c r="D83" s="1" t="n">
        <v>45236</v>
      </c>
      <c r="E83" s="1" t="n">
        <v>46261</v>
      </c>
      <c r="F83" t="inlineStr">
        <is>
          <t>NORRBOTTENS LÄN</t>
        </is>
      </c>
      <c r="G83" t="inlineStr">
        <is>
          <t>KIRUNA</t>
        </is>
      </c>
      <c r="H83" t="inlineStr">
        <is>
          <t>Sveaskog</t>
        </is>
      </c>
      <c r="I83" t="n">
        <v>6.6</v>
      </c>
      <c r="J83" t="n">
        <v>0</v>
      </c>
      <c r="K83" t="n">
        <v>0</v>
      </c>
      <c r="L83" t="n">
        <v>0</v>
      </c>
      <c r="M83" t="n">
        <v>0</v>
      </c>
      <c r="N83" t="n">
        <v>0</v>
      </c>
      <c r="O83" t="n">
        <v>0</v>
      </c>
      <c r="P83" t="n">
        <v>0</v>
      </c>
      <c r="Q83" t="n">
        <v>0</v>
      </c>
      <c r="R83" t="n">
        <v>0</v>
      </c>
      <c r="S83" t="n">
        <v>0</v>
      </c>
      <c r="T83" t="n">
        <v>0</v>
      </c>
      <c r="U83" t="n">
        <v>0</v>
      </c>
      <c r="V83" s="2" t="inlineStr"/>
    </row>
    <row r="84" ht="15" customHeight="1">
      <c r="A84" t="inlineStr">
        <is>
          <t>A 8350-2025</t>
        </is>
      </c>
      <c r="B84" t="inlineStr">
        <is>
          <t>avverkningsanmälan</t>
        </is>
      </c>
      <c r="C84" t="inlineStr">
        <is>
          <t>Avverkning för annat ändamål</t>
        </is>
      </c>
      <c r="D84" s="1" t="n">
        <v>45708</v>
      </c>
      <c r="E84" s="1" t="n">
        <v>46261</v>
      </c>
      <c r="F84" t="inlineStr">
        <is>
          <t>NORRBOTTENS LÄN</t>
        </is>
      </c>
      <c r="G84" t="inlineStr">
        <is>
          <t>KIRUNA</t>
        </is>
      </c>
      <c r="H84" t="inlineStr">
        <is>
          <t>Övriga statliga verk och myndigheter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41127-2023</t>
        </is>
      </c>
      <c r="B85" t="inlineStr">
        <is>
          <t>avverkningsanmälan</t>
        </is>
      </c>
      <c r="C85" t="inlineStr">
        <is>
          <t>Avverkning för annat ändamål</t>
        </is>
      </c>
      <c r="D85" s="1" t="n">
        <v>45173</v>
      </c>
      <c r="E85" s="1" t="n">
        <v>46261</v>
      </c>
      <c r="F85" t="inlineStr">
        <is>
          <t>NORRBOTTENS LÄN</t>
        </is>
      </c>
      <c r="G85" t="inlineStr">
        <is>
          <t>KIRUNA</t>
        </is>
      </c>
      <c r="H85" t="inlineStr">
        <is>
          <t>SCA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46261</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2026-08-27T01:53:30Z</dcterms:created>
  <dcterms:modified xmlns:dcterms="http://purl.org/dc/terms/" xmlns:xsi="http://www.w3.org/2001/XMLSchema-instance" xsi:type="dcterms:W3CDTF">2026-08-27T01:53:30Z</dcterms:modified>
</cp:coreProperties>
</file>