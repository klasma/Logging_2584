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46239</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46239</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46239</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46239</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46239</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46239</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46239</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46239</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53309-2023</t>
        </is>
      </c>
      <c r="B11" t="inlineStr">
        <is>
          <t>avverkningsanmälan</t>
        </is>
      </c>
      <c r="C11" t="inlineStr">
        <is>
          <t>Avverkning för annat ändamål</t>
        </is>
      </c>
      <c r="D11" s="1" t="n">
        <v>45229</v>
      </c>
      <c r="E11" s="1" t="n">
        <v>46239</v>
      </c>
      <c r="F11" t="inlineStr">
        <is>
          <t>NORRBOTTENS LÄN</t>
        </is>
      </c>
      <c r="G11" t="inlineStr">
        <is>
          <t>KIRUNA</t>
        </is>
      </c>
      <c r="I11" t="n">
        <v>1.6</v>
      </c>
      <c r="J11" t="n">
        <v>3</v>
      </c>
      <c r="K11" t="n">
        <v>0</v>
      </c>
      <c r="L11" t="n">
        <v>0</v>
      </c>
      <c r="M11" t="n">
        <v>0</v>
      </c>
      <c r="N11" t="n">
        <v>0</v>
      </c>
      <c r="O11" t="n">
        <v>0</v>
      </c>
      <c r="P11" t="n">
        <v>0</v>
      </c>
      <c r="Q11" t="n">
        <v>0</v>
      </c>
      <c r="R11" t="n">
        <v>0</v>
      </c>
      <c r="S11" t="n">
        <v>3</v>
      </c>
      <c r="T11" t="n">
        <v>3</v>
      </c>
      <c r="U11" t="n">
        <v>3</v>
      </c>
      <c r="V11" s="2" t="inlineStr">
        <is>
          <t>Fiskgjuse
Grönsiska
Havsörn</t>
        </is>
      </c>
      <c r="W11">
        <f>HYPERLINK("https://klasma.github.io/Logging_2584/artfynd/A 53309-2023 artfynd.xlsx", "A 53309-2023")</f>
        <v/>
      </c>
      <c r="X11">
        <f>HYPERLINK("https://klasma.github.io/Logging_2584/kartor/A 53309-2023 karta.png", "A 53309-2023")</f>
        <v/>
      </c>
      <c r="Y11">
        <f>HYPERLINK("https://klasma.github.io/Logging_2584/kartor_geotiff/A 53309-2023 georefererad karta.tif", "A 53309-2023")</f>
        <v/>
      </c>
      <c r="AA11">
        <f>HYPERLINK("https://klasma.github.io/Logging_2584/klagomål/A 53309-2023 FSC-klagomål.docx", "A 53309-2023")</f>
        <v/>
      </c>
      <c r="AB11">
        <f>HYPERLINK("https://klasma.github.io/Logging_2584/klagomålsmail/A 53309-2023 FSC-klagomål mail.docx", "A 53309-2023")</f>
        <v/>
      </c>
      <c r="AC11">
        <f>HYPERLINK("https://klasma.github.io/Logging_2584/tillsyn/A 53309-2023 tillsynsbegäran.docx", "A 53309-2023")</f>
        <v/>
      </c>
      <c r="AD11">
        <f>HYPERLINK("https://klasma.github.io/Logging_2584/tillsynsmail/A 53309-2023 tillsynsbegäran mail.docx", "A 53309-2023")</f>
        <v/>
      </c>
      <c r="AE11">
        <f>HYPERLINK("https://klasma.github.io/Logging_2584/fåglar/A 53309-2023 prioriterade fågelarter.docx", "A 53309-2023")</f>
        <v/>
      </c>
    </row>
    <row r="12" ht="15" customHeight="1">
      <c r="A12" t="inlineStr">
        <is>
          <t>A 20780-2025</t>
        </is>
      </c>
      <c r="B12" t="inlineStr">
        <is>
          <t>avverkningsanmälan</t>
        </is>
      </c>
      <c r="C12" t="inlineStr">
        <is>
          <t>Föryngringsavverkning</t>
        </is>
      </c>
      <c r="D12" s="1" t="n">
        <v>45776</v>
      </c>
      <c r="E12" s="1" t="n">
        <v>46239</v>
      </c>
      <c r="F12" t="inlineStr">
        <is>
          <t>NORRBOTTENS LÄN</t>
        </is>
      </c>
      <c r="G12" t="inlineStr">
        <is>
          <t>KIRUNA</t>
        </is>
      </c>
      <c r="H12" t="inlineStr">
        <is>
          <t>Sveaskog</t>
        </is>
      </c>
      <c r="I12" t="n">
        <v>5.7</v>
      </c>
      <c r="J12" t="n">
        <v>1</v>
      </c>
      <c r="K12" t="n">
        <v>2</v>
      </c>
      <c r="L12" t="n">
        <v>0</v>
      </c>
      <c r="M12" t="n">
        <v>1</v>
      </c>
      <c r="N12" t="n">
        <v>0</v>
      </c>
      <c r="O12" t="n">
        <v>0</v>
      </c>
      <c r="P12" t="n">
        <v>0</v>
      </c>
      <c r="Q12" t="n">
        <v>1</v>
      </c>
      <c r="R12" t="n">
        <v>1</v>
      </c>
      <c r="S12" t="n">
        <v>3</v>
      </c>
      <c r="T12" t="n">
        <v>4</v>
      </c>
      <c r="U12" t="n">
        <v>0</v>
      </c>
      <c r="V12" s="2" t="inlineStr">
        <is>
          <t>Garnlav
Lappranunkel
Stuplav</t>
        </is>
      </c>
      <c r="W12">
        <f>HYPERLINK("https://klasma.github.io/Logging_2584/artfynd/A 20780-2025 artfynd.xlsx", "A 20780-2025")</f>
        <v/>
      </c>
      <c r="X12">
        <f>HYPERLINK("https://klasma.github.io/Logging_2584/kartor/A 20780-2025 karta.png", "A 20780-2025")</f>
        <v/>
      </c>
      <c r="Y12">
        <f>HYPERLINK("https://klasma.github.io/Logging_2584/kartor_geotiff/A 20780-2025 georefererad karta.tif", "A 20780-2025")</f>
        <v/>
      </c>
      <c r="AA12">
        <f>HYPERLINK("https://klasma.github.io/Logging_2584/klagomål/A 20780-2025 FSC-klagomål.docx", "A 20780-2025")</f>
        <v/>
      </c>
      <c r="AB12">
        <f>HYPERLINK("https://klasma.github.io/Logging_2584/klagomålsmail/A 20780-2025 FSC-klagomål mail.docx", "A 20780-2025")</f>
        <v/>
      </c>
      <c r="AC12">
        <f>HYPERLINK("https://klasma.github.io/Logging_2584/tillsyn/A 20780-2025 tillsynsbegäran.docx", "A 20780-2025")</f>
        <v/>
      </c>
      <c r="AD12">
        <f>HYPERLINK("https://klasma.github.io/Logging_2584/tillsynsmail/A 20780-2025 tillsynsbegäran mail.docx", "A 20780-2025")</f>
        <v/>
      </c>
    </row>
    <row r="13" ht="15" customHeight="1">
      <c r="A13" t="inlineStr">
        <is>
          <t>A 21183-2025</t>
        </is>
      </c>
      <c r="B13" t="inlineStr">
        <is>
          <t>avverkningsanmälan</t>
        </is>
      </c>
      <c r="C13" t="inlineStr">
        <is>
          <t>Föryngringsavverkning</t>
        </is>
      </c>
      <c r="D13" s="1" t="n">
        <v>45779</v>
      </c>
      <c r="E13" s="1" t="n">
        <v>46239</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53264-2023</t>
        </is>
      </c>
      <c r="B14" t="inlineStr">
        <is>
          <t>avverkningsanmälan</t>
        </is>
      </c>
      <c r="C14" t="inlineStr">
        <is>
          <t>Föryngringsavverkning</t>
        </is>
      </c>
      <c r="D14" s="1" t="n">
        <v>45222</v>
      </c>
      <c r="E14" s="1" t="n">
        <v>46239</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53264-2023</t>
        </is>
      </c>
      <c r="B15" t="inlineStr">
        <is>
          <t>avverkningsanmälan</t>
        </is>
      </c>
      <c r="C15" t="inlineStr">
        <is>
          <t>Föryngringsavverkning</t>
        </is>
      </c>
      <c r="D15" s="1" t="n">
        <v>45222</v>
      </c>
      <c r="E15" s="1" t="n">
        <v>46239</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17740-2023</t>
        </is>
      </c>
      <c r="B16" t="inlineStr">
        <is>
          <t>avverkningsanmälan</t>
        </is>
      </c>
      <c r="C16" t="inlineStr">
        <is>
          <t>Föryngringsavverkning</t>
        </is>
      </c>
      <c r="D16" s="1" t="n">
        <v>45035</v>
      </c>
      <c r="E16" s="1" t="n">
        <v>46239</v>
      </c>
      <c r="F16" t="inlineStr">
        <is>
          <t>NORRBOTTENS LÄN</t>
        </is>
      </c>
      <c r="G16" t="inlineStr">
        <is>
          <t>KIRUNA</t>
        </is>
      </c>
      <c r="H16" t="inlineStr">
        <is>
          <t>Allmännings- och besparingsskogar</t>
        </is>
      </c>
      <c r="I16" t="n">
        <v>20.1</v>
      </c>
      <c r="J16" t="n">
        <v>1</v>
      </c>
      <c r="K16" t="n">
        <v>0</v>
      </c>
      <c r="L16" t="n">
        <v>1</v>
      </c>
      <c r="M16" t="n">
        <v>0</v>
      </c>
      <c r="N16" t="n">
        <v>0</v>
      </c>
      <c r="O16" t="n">
        <v>0</v>
      </c>
      <c r="P16" t="n">
        <v>0</v>
      </c>
      <c r="Q16" t="n">
        <v>1</v>
      </c>
      <c r="R16" t="n">
        <v>0</v>
      </c>
      <c r="S16" t="n">
        <v>2</v>
      </c>
      <c r="T16" t="n">
        <v>2</v>
      </c>
      <c r="U16" t="n">
        <v>1</v>
      </c>
      <c r="V16" s="2" t="inlineStr">
        <is>
          <t>Knottrig blåslav
Svartvit flugsnappare</t>
        </is>
      </c>
      <c r="W16">
        <f>HYPERLINK("https://klasma.github.io/Logging_2584/artfynd/A 17740-2023 artfynd.xlsx", "A 17740-2023")</f>
        <v/>
      </c>
      <c r="X16">
        <f>HYPERLINK("https://klasma.github.io/Logging_2584/kartor/A 17740-2023 karta.png", "A 17740-2023")</f>
        <v/>
      </c>
      <c r="Y16">
        <f>HYPERLINK("https://klasma.github.io/Logging_2584/kartor_geotiff/A 17740-2023 georefererad karta.tif", "A 17740-2023")</f>
        <v/>
      </c>
      <c r="AA16">
        <f>HYPERLINK("https://klasma.github.io/Logging_2584/klagomål/A 17740-2023 FSC-klagomål.docx", "A 17740-2023")</f>
        <v/>
      </c>
      <c r="AB16">
        <f>HYPERLINK("https://klasma.github.io/Logging_2584/klagomålsmail/A 17740-2023 FSC-klagomål mail.docx", "A 17740-2023")</f>
        <v/>
      </c>
      <c r="AC16">
        <f>HYPERLINK("https://klasma.github.io/Logging_2584/tillsyn/A 17740-2023 tillsynsbegäran.docx", "A 17740-2023")</f>
        <v/>
      </c>
      <c r="AD16">
        <f>HYPERLINK("https://klasma.github.io/Logging_2584/tillsynsmail/A 17740-2023 tillsynsbegäran mail.docx", "A 17740-2023")</f>
        <v/>
      </c>
    </row>
    <row r="17" ht="15" customHeight="1">
      <c r="A17" t="inlineStr">
        <is>
          <t>A 58860-2022</t>
        </is>
      </c>
      <c r="B17" t="inlineStr">
        <is>
          <t>avverkningsanmälan</t>
        </is>
      </c>
      <c r="C17" t="inlineStr">
        <is>
          <t>Avverkning för annat ändamål</t>
        </is>
      </c>
      <c r="D17" s="1" t="n">
        <v>44896</v>
      </c>
      <c r="E17" s="1" t="n">
        <v>46239</v>
      </c>
      <c r="F17" t="inlineStr">
        <is>
          <t>NORRBOTTENS LÄN</t>
        </is>
      </c>
      <c r="G17" t="inlineStr">
        <is>
          <t>KIRUNA</t>
        </is>
      </c>
      <c r="I17" t="n">
        <v>0.3</v>
      </c>
      <c r="J17" t="n">
        <v>2</v>
      </c>
      <c r="K17" t="n">
        <v>0</v>
      </c>
      <c r="L17" t="n">
        <v>0</v>
      </c>
      <c r="M17" t="n">
        <v>0</v>
      </c>
      <c r="N17" t="n">
        <v>1</v>
      </c>
      <c r="O17" t="n">
        <v>0</v>
      </c>
      <c r="P17" t="n">
        <v>0</v>
      </c>
      <c r="Q17" t="n">
        <v>1</v>
      </c>
      <c r="R17" t="n">
        <v>1</v>
      </c>
      <c r="S17" t="n">
        <v>2</v>
      </c>
      <c r="T17" t="n">
        <v>2</v>
      </c>
      <c r="U17" t="n">
        <v>2</v>
      </c>
      <c r="V17" s="2" t="inlineStr">
        <is>
          <t>Brun glada
Salskrake</t>
        </is>
      </c>
      <c r="W17">
        <f>HYPERLINK("https://klasma.github.io/Logging_2584/artfynd/A 58860-2022 artfynd.xlsx", "A 58860-2022")</f>
        <v/>
      </c>
      <c r="X17">
        <f>HYPERLINK("https://klasma.github.io/Logging_2584/kartor/A 58860-2022 karta.png", "A 58860-2022")</f>
        <v/>
      </c>
      <c r="Y17">
        <f>HYPERLINK("https://klasma.github.io/Logging_2584/kartor_geotiff/A 58860-2022 georefererad karta.tif", "A 58860-2022")</f>
        <v/>
      </c>
      <c r="AA17">
        <f>HYPERLINK("https://klasma.github.io/Logging_2584/klagomål/A 58860-2022 FSC-klagomål.docx", "A 58860-2022")</f>
        <v/>
      </c>
      <c r="AB17">
        <f>HYPERLINK("https://klasma.github.io/Logging_2584/klagomålsmail/A 58860-2022 FSC-klagomål mail.docx", "A 58860-2022")</f>
        <v/>
      </c>
      <c r="AC17">
        <f>HYPERLINK("https://klasma.github.io/Logging_2584/tillsyn/A 58860-2022 tillsynsbegäran.docx", "A 58860-2022")</f>
        <v/>
      </c>
      <c r="AD17">
        <f>HYPERLINK("https://klasma.github.io/Logging_2584/tillsynsmail/A 58860-2022 tillsynsbegäran mail.docx", "A 58860-2022")</f>
        <v/>
      </c>
      <c r="AE17">
        <f>HYPERLINK("https://klasma.github.io/Logging_2584/fåglar/A 58860-2022 prioriterade fågelarter.docx", "A 58860-2022")</f>
        <v/>
      </c>
    </row>
    <row r="18" ht="15" customHeight="1">
      <c r="A18" t="inlineStr">
        <is>
          <t>A 45810-2022</t>
        </is>
      </c>
      <c r="B18" t="inlineStr">
        <is>
          <t>avverkningsanmälan</t>
        </is>
      </c>
      <c r="C18" t="inlineStr">
        <is>
          <t>Avverkning för annat ändamål</t>
        </is>
      </c>
      <c r="D18" s="1" t="n">
        <v>44844</v>
      </c>
      <c r="E18" s="1" t="n">
        <v>46239</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61066-2024</t>
        </is>
      </c>
      <c r="B19" t="inlineStr">
        <is>
          <t>avverkningsanmälan</t>
        </is>
      </c>
      <c r="C19" t="inlineStr">
        <is>
          <t>Föryngringsavverkning</t>
        </is>
      </c>
      <c r="D19" s="1" t="n">
        <v>45645</v>
      </c>
      <c r="E19" s="1" t="n">
        <v>46239</v>
      </c>
      <c r="F19" t="inlineStr">
        <is>
          <t>NORRBOTTENS LÄN</t>
        </is>
      </c>
      <c r="G19" t="inlineStr">
        <is>
          <t>KIRUNA</t>
        </is>
      </c>
      <c r="I19" t="n">
        <v>4.5</v>
      </c>
      <c r="J19" t="n">
        <v>1</v>
      </c>
      <c r="K19" t="n">
        <v>0</v>
      </c>
      <c r="L19" t="n">
        <v>0</v>
      </c>
      <c r="M19" t="n">
        <v>0</v>
      </c>
      <c r="N19" t="n">
        <v>0</v>
      </c>
      <c r="O19" t="n">
        <v>0</v>
      </c>
      <c r="P19" t="n">
        <v>0</v>
      </c>
      <c r="Q19" t="n">
        <v>0</v>
      </c>
      <c r="R19" t="n">
        <v>0</v>
      </c>
      <c r="S19" t="n">
        <v>1</v>
      </c>
      <c r="T19" t="n">
        <v>1</v>
      </c>
      <c r="U19" t="n">
        <v>1</v>
      </c>
      <c r="V19" s="2" t="inlineStr">
        <is>
          <t>Tjäder</t>
        </is>
      </c>
      <c r="W19">
        <f>HYPERLINK("https://klasma.github.io/Logging_2584/artfynd/A 61066-2024 artfynd.xlsx", "A 61066-2024")</f>
        <v/>
      </c>
      <c r="X19">
        <f>HYPERLINK("https://klasma.github.io/Logging_2584/kartor/A 61066-2024 karta.png", "A 61066-2024")</f>
        <v/>
      </c>
      <c r="Y19">
        <f>HYPERLINK("https://klasma.github.io/Logging_2584/kartor_geotiff/A 61066-2024 georefererad karta.tif", "A 61066-2024")</f>
        <v/>
      </c>
      <c r="AA19">
        <f>HYPERLINK("https://klasma.github.io/Logging_2584/klagomål/A 61066-2024 FSC-klagomål.docx", "A 61066-2024")</f>
        <v/>
      </c>
      <c r="AB19">
        <f>HYPERLINK("https://klasma.github.io/Logging_2584/klagomålsmail/A 61066-2024 FSC-klagomål mail.docx", "A 61066-2024")</f>
        <v/>
      </c>
      <c r="AC19">
        <f>HYPERLINK("https://klasma.github.io/Logging_2584/tillsyn/A 61066-2024 tillsynsbegäran.docx", "A 61066-2024")</f>
        <v/>
      </c>
      <c r="AD19">
        <f>HYPERLINK("https://klasma.github.io/Logging_2584/tillsynsmail/A 61066-2024 tillsynsbegäran mail.docx", "A 61066-2024")</f>
        <v/>
      </c>
      <c r="AE19">
        <f>HYPERLINK("https://klasma.github.io/Logging_2584/fåglar/A 61066-2024 prioriterade fågelarter.docx", "A 61066-2024")</f>
        <v/>
      </c>
    </row>
    <row r="20" ht="15" customHeight="1">
      <c r="A20" t="inlineStr">
        <is>
          <t>A 60064-2023</t>
        </is>
      </c>
      <c r="B20" t="inlineStr">
        <is>
          <t>avverkningsanmälan</t>
        </is>
      </c>
      <c r="C20" t="inlineStr">
        <is>
          <t>Föryngringsavverkning</t>
        </is>
      </c>
      <c r="D20" s="1" t="n">
        <v>45258</v>
      </c>
      <c r="E20" s="1" t="n">
        <v>46239</v>
      </c>
      <c r="F20" t="inlineStr">
        <is>
          <t>NORRBOTTENS LÄN</t>
        </is>
      </c>
      <c r="G20" t="inlineStr">
        <is>
          <t>KIRUNA</t>
        </is>
      </c>
      <c r="I20" t="n">
        <v>19.8</v>
      </c>
      <c r="J20" t="n">
        <v>1</v>
      </c>
      <c r="K20" t="n">
        <v>0</v>
      </c>
      <c r="L20" t="n">
        <v>0</v>
      </c>
      <c r="M20" t="n">
        <v>0</v>
      </c>
      <c r="N20" t="n">
        <v>0</v>
      </c>
      <c r="O20" t="n">
        <v>0</v>
      </c>
      <c r="P20" t="n">
        <v>0</v>
      </c>
      <c r="Q20" t="n">
        <v>0</v>
      </c>
      <c r="R20" t="n">
        <v>0</v>
      </c>
      <c r="S20" t="n">
        <v>1</v>
      </c>
      <c r="T20" t="n">
        <v>2</v>
      </c>
      <c r="U20" t="n">
        <v>2</v>
      </c>
      <c r="V20" s="2" t="inlineStr">
        <is>
          <t>Tjäder</t>
        </is>
      </c>
      <c r="W20">
        <f>HYPERLINK("https://klasma.github.io/Logging_2584/artfynd/A 60064-2023 artfynd.xlsx", "A 60064-2023")</f>
        <v/>
      </c>
      <c r="X20">
        <f>HYPERLINK("https://klasma.github.io/Logging_2584/kartor/A 60064-2023 karta.png", "A 60064-2023")</f>
        <v/>
      </c>
      <c r="Y20">
        <f>HYPERLINK("https://klasma.github.io/Logging_2584/kartor_geotiff/A 60064-2023 georefererad karta.tif", "A 60064-2023")</f>
        <v/>
      </c>
      <c r="AA20">
        <f>HYPERLINK("https://klasma.github.io/Logging_2584/klagomål/A 60064-2023 FSC-klagomål.docx", "A 60064-2023")</f>
        <v/>
      </c>
      <c r="AB20">
        <f>HYPERLINK("https://klasma.github.io/Logging_2584/klagomålsmail/A 60064-2023 FSC-klagomål mail.docx", "A 60064-2023")</f>
        <v/>
      </c>
      <c r="AC20">
        <f>HYPERLINK("https://klasma.github.io/Logging_2584/tillsyn/A 60064-2023 tillsynsbegäran.docx", "A 60064-2023")</f>
        <v/>
      </c>
      <c r="AD20">
        <f>HYPERLINK("https://klasma.github.io/Logging_2584/tillsynsmail/A 60064-2023 tillsynsbegäran mail.docx", "A 60064-2023")</f>
        <v/>
      </c>
      <c r="AE20">
        <f>HYPERLINK("https://klasma.github.io/Logging_2584/fåglar/A 60064-2023 prioriterade fågelarter.docx", "A 60064-2023")</f>
        <v/>
      </c>
    </row>
    <row r="21" ht="15" customHeight="1">
      <c r="A21" t="inlineStr">
        <is>
          <t>A 2660-2026</t>
        </is>
      </c>
      <c r="B21" t="inlineStr">
        <is>
          <t>avverkningsanmälan</t>
        </is>
      </c>
      <c r="C21" t="inlineStr">
        <is>
          <t>Föryngringsavverkning</t>
        </is>
      </c>
      <c r="D21" s="1" t="n">
        <v>46037</v>
      </c>
      <c r="E21" s="1" t="n">
        <v>46239</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5842-2023</t>
        </is>
      </c>
      <c r="B22" t="inlineStr">
        <is>
          <t>avverkningsanmälan</t>
        </is>
      </c>
      <c r="C22" t="inlineStr">
        <is>
          <t>Avverkning för annat ändamål</t>
        </is>
      </c>
      <c r="D22" s="1" t="n">
        <v>44958</v>
      </c>
      <c r="E22" s="1" t="n">
        <v>46239</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4367-2024</t>
        </is>
      </c>
      <c r="B23" t="inlineStr">
        <is>
          <t>avverkningsanmälan</t>
        </is>
      </c>
      <c r="C23" t="inlineStr">
        <is>
          <t>Föryngringsavverkning</t>
        </is>
      </c>
      <c r="D23" s="1" t="n">
        <v>45326</v>
      </c>
      <c r="E23" s="1" t="n">
        <v>46239</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46239</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45205-2022</t>
        </is>
      </c>
      <c r="B25" t="inlineStr">
        <is>
          <t>avverkningsanmälan</t>
        </is>
      </c>
      <c r="C25" t="inlineStr">
        <is>
          <t>Avverkning för annat ändamål</t>
        </is>
      </c>
      <c r="D25" s="1" t="n">
        <v>44840</v>
      </c>
      <c r="E25" s="1" t="n">
        <v>46239</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46239</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46239</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46239</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93-2024</t>
        </is>
      </c>
      <c r="B29" t="inlineStr">
        <is>
          <t>avverkningsanmälan</t>
        </is>
      </c>
      <c r="C29" t="inlineStr">
        <is>
          <t>Avverkning för annat ändamål</t>
        </is>
      </c>
      <c r="D29" s="1" t="n">
        <v>45293</v>
      </c>
      <c r="E29" s="1" t="n">
        <v>46239</v>
      </c>
      <c r="F29" t="inlineStr">
        <is>
          <t>NORRBOTTENS LÄN</t>
        </is>
      </c>
      <c r="G29" t="inlineStr">
        <is>
          <t>KIRUNA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9605-2024</t>
        </is>
      </c>
      <c r="B30" t="inlineStr">
        <is>
          <t>avverkningsanmälan</t>
        </is>
      </c>
      <c r="C30" t="inlineStr">
        <is>
          <t>Föryngringsavverkning</t>
        </is>
      </c>
      <c r="D30" s="1" t="n">
        <v>45361</v>
      </c>
      <c r="E30" s="1" t="n">
        <v>46239</v>
      </c>
      <c r="F30" t="inlineStr">
        <is>
          <t>NORRBOTTENS LÄN</t>
        </is>
      </c>
      <c r="G30" t="inlineStr">
        <is>
          <t>KIRUNA</t>
        </is>
      </c>
      <c r="I30" t="n">
        <v>8.4</v>
      </c>
      <c r="J30" t="n">
        <v>0</v>
      </c>
      <c r="K30" t="n">
        <v>0</v>
      </c>
      <c r="L30" t="n">
        <v>0</v>
      </c>
      <c r="M30" t="n">
        <v>0</v>
      </c>
      <c r="N30" t="n">
        <v>0</v>
      </c>
      <c r="O30" t="n">
        <v>0</v>
      </c>
      <c r="P30" t="n">
        <v>0</v>
      </c>
      <c r="Q30" t="n">
        <v>0</v>
      </c>
      <c r="R30" t="n">
        <v>0</v>
      </c>
      <c r="S30" t="n">
        <v>0</v>
      </c>
      <c r="T30" t="n">
        <v>0</v>
      </c>
      <c r="U30" t="n">
        <v>0</v>
      </c>
      <c r="V30" s="2" t="inlineStr"/>
    </row>
    <row r="31" ht="15" customHeight="1">
      <c r="A31" t="inlineStr">
        <is>
          <t>A 5411-2024</t>
        </is>
      </c>
      <c r="B31" t="inlineStr">
        <is>
          <t>avverkningsanmälan</t>
        </is>
      </c>
      <c r="C31" t="inlineStr">
        <is>
          <t>Föryngringsavverkning</t>
        </is>
      </c>
      <c r="D31" s="1" t="n">
        <v>45331</v>
      </c>
      <c r="E31" s="1" t="n">
        <v>46239</v>
      </c>
      <c r="F31" t="inlineStr">
        <is>
          <t>NORRBOTTENS LÄN</t>
        </is>
      </c>
      <c r="G31" t="inlineStr">
        <is>
          <t>KIRUNA</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34664-2025</t>
        </is>
      </c>
      <c r="B32" t="inlineStr">
        <is>
          <t>avverkningsanmälan</t>
        </is>
      </c>
      <c r="C32" t="inlineStr">
        <is>
          <t>Föryngringsavverkning</t>
        </is>
      </c>
      <c r="D32" s="1" t="n">
        <v>45848</v>
      </c>
      <c r="E32" s="1" t="n">
        <v>46239</v>
      </c>
      <c r="F32" t="inlineStr">
        <is>
          <t>NORRBOTTENS LÄN</t>
        </is>
      </c>
      <c r="G32" t="inlineStr">
        <is>
          <t>KIRUNA</t>
        </is>
      </c>
      <c r="I32" t="n">
        <v>8.4</v>
      </c>
      <c r="J32" t="n">
        <v>0</v>
      </c>
      <c r="K32" t="n">
        <v>0</v>
      </c>
      <c r="L32" t="n">
        <v>0</v>
      </c>
      <c r="M32" t="n">
        <v>0</v>
      </c>
      <c r="N32" t="n">
        <v>0</v>
      </c>
      <c r="O32" t="n">
        <v>0</v>
      </c>
      <c r="P32" t="n">
        <v>0</v>
      </c>
      <c r="Q32" t="n">
        <v>0</v>
      </c>
      <c r="R32" t="n">
        <v>0</v>
      </c>
      <c r="S32" t="n">
        <v>0</v>
      </c>
      <c r="T32" t="n">
        <v>0</v>
      </c>
      <c r="U32" t="n">
        <v>0</v>
      </c>
      <c r="V32" s="2" t="inlineStr"/>
    </row>
    <row r="33" ht="15" customHeight="1">
      <c r="A33" t="inlineStr">
        <is>
          <t>A 34663-2025</t>
        </is>
      </c>
      <c r="B33" t="inlineStr">
        <is>
          <t>avverkningsanmälan</t>
        </is>
      </c>
      <c r="C33" t="inlineStr">
        <is>
          <t>Föryngringsavverkning</t>
        </is>
      </c>
      <c r="D33" s="1" t="n">
        <v>45848</v>
      </c>
      <c r="E33" s="1" t="n">
        <v>46239</v>
      </c>
      <c r="F33" t="inlineStr">
        <is>
          <t>NORRBOTTENS LÄN</t>
        </is>
      </c>
      <c r="G33" t="inlineStr">
        <is>
          <t>KIRUNA</t>
        </is>
      </c>
      <c r="I33" t="n">
        <v>5.1</v>
      </c>
      <c r="J33" t="n">
        <v>0</v>
      </c>
      <c r="K33" t="n">
        <v>0</v>
      </c>
      <c r="L33" t="n">
        <v>0</v>
      </c>
      <c r="M33" t="n">
        <v>0</v>
      </c>
      <c r="N33" t="n">
        <v>0</v>
      </c>
      <c r="O33" t="n">
        <v>0</v>
      </c>
      <c r="P33" t="n">
        <v>0</v>
      </c>
      <c r="Q33" t="n">
        <v>0</v>
      </c>
      <c r="R33" t="n">
        <v>0</v>
      </c>
      <c r="S33" t="n">
        <v>0</v>
      </c>
      <c r="T33" t="n">
        <v>0</v>
      </c>
      <c r="U33" t="n">
        <v>0</v>
      </c>
      <c r="V33" s="2" t="inlineStr"/>
    </row>
    <row r="34" ht="15" customHeight="1">
      <c r="A34" t="inlineStr">
        <is>
          <t>A 18737-2023</t>
        </is>
      </c>
      <c r="B34" t="inlineStr">
        <is>
          <t>avverkningsanmälan</t>
        </is>
      </c>
      <c r="C34" t="inlineStr">
        <is>
          <t>Avverkning för annat ändamål</t>
        </is>
      </c>
      <c r="D34" s="1" t="n">
        <v>45042</v>
      </c>
      <c r="E34" s="1" t="n">
        <v>46239</v>
      </c>
      <c r="F34" t="inlineStr">
        <is>
          <t>NORRBOTTENS LÄN</t>
        </is>
      </c>
      <c r="G34" t="inlineStr">
        <is>
          <t>KIRUNA</t>
        </is>
      </c>
      <c r="H34" t="inlineStr">
        <is>
          <t>Sveaskog</t>
        </is>
      </c>
      <c r="I34" t="n">
        <v>10.7</v>
      </c>
      <c r="J34" t="n">
        <v>0</v>
      </c>
      <c r="K34" t="n">
        <v>0</v>
      </c>
      <c r="L34" t="n">
        <v>0</v>
      </c>
      <c r="M34" t="n">
        <v>0</v>
      </c>
      <c r="N34" t="n">
        <v>0</v>
      </c>
      <c r="O34" t="n">
        <v>0</v>
      </c>
      <c r="P34" t="n">
        <v>0</v>
      </c>
      <c r="Q34" t="n">
        <v>0</v>
      </c>
      <c r="R34" t="n">
        <v>0</v>
      </c>
      <c r="S34" t="n">
        <v>0</v>
      </c>
      <c r="T34" t="n">
        <v>0</v>
      </c>
      <c r="U34" t="n">
        <v>0</v>
      </c>
      <c r="V34" s="2" t="inlineStr"/>
    </row>
    <row r="35" ht="15" customHeight="1">
      <c r="A35" t="inlineStr">
        <is>
          <t>A 22494-2024</t>
        </is>
      </c>
      <c r="B35" t="inlineStr">
        <is>
          <t>avverkningsanmälan</t>
        </is>
      </c>
      <c r="C35" t="inlineStr">
        <is>
          <t>Föryngringsavverkning</t>
        </is>
      </c>
      <c r="D35" s="1" t="n">
        <v>45447</v>
      </c>
      <c r="E35" s="1" t="n">
        <v>46239</v>
      </c>
      <c r="F35" t="inlineStr">
        <is>
          <t>NORRBOTTENS LÄN</t>
        </is>
      </c>
      <c r="G35" t="inlineStr">
        <is>
          <t>KIRUNA</t>
        </is>
      </c>
      <c r="I35" t="n">
        <v>6</v>
      </c>
      <c r="J35" t="n">
        <v>0</v>
      </c>
      <c r="K35" t="n">
        <v>0</v>
      </c>
      <c r="L35" t="n">
        <v>0</v>
      </c>
      <c r="M35" t="n">
        <v>0</v>
      </c>
      <c r="N35" t="n">
        <v>0</v>
      </c>
      <c r="O35" t="n">
        <v>0</v>
      </c>
      <c r="P35" t="n">
        <v>0</v>
      </c>
      <c r="Q35" t="n">
        <v>0</v>
      </c>
      <c r="R35" t="n">
        <v>0</v>
      </c>
      <c r="S35" t="n">
        <v>0</v>
      </c>
      <c r="T35" t="n">
        <v>0</v>
      </c>
      <c r="U35" t="n">
        <v>0</v>
      </c>
      <c r="V35" s="2" t="inlineStr"/>
    </row>
    <row r="36" ht="15" customHeight="1">
      <c r="A36" t="inlineStr">
        <is>
          <t>A 9069-2023</t>
        </is>
      </c>
      <c r="B36" t="inlineStr">
        <is>
          <t>avverkningsanmälan</t>
        </is>
      </c>
      <c r="C36" t="inlineStr">
        <is>
          <t>Föryngringsavverkning</t>
        </is>
      </c>
      <c r="D36" s="1" t="n">
        <v>44979</v>
      </c>
      <c r="E36" s="1" t="n">
        <v>46239</v>
      </c>
      <c r="F36" t="inlineStr">
        <is>
          <t>NORRBOTTENS LÄN</t>
        </is>
      </c>
      <c r="G36" t="inlineStr">
        <is>
          <t>KIRUNA</t>
        </is>
      </c>
      <c r="H36" t="inlineStr">
        <is>
          <t>SCA</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9068-2023</t>
        </is>
      </c>
      <c r="B37" t="inlineStr">
        <is>
          <t>avverkningsanmälan</t>
        </is>
      </c>
      <c r="C37" t="inlineStr">
        <is>
          <t>Föryngringsavverkning</t>
        </is>
      </c>
      <c r="D37" s="1" t="n">
        <v>44979</v>
      </c>
      <c r="E37" s="1" t="n">
        <v>46239</v>
      </c>
      <c r="F37" t="inlineStr">
        <is>
          <t>NORRBOTTENS LÄN</t>
        </is>
      </c>
      <c r="G37" t="inlineStr">
        <is>
          <t>KIRUNA</t>
        </is>
      </c>
      <c r="H37" t="inlineStr">
        <is>
          <t>SCA</t>
        </is>
      </c>
      <c r="I37" t="n">
        <v>4.6</v>
      </c>
      <c r="J37" t="n">
        <v>0</v>
      </c>
      <c r="K37" t="n">
        <v>0</v>
      </c>
      <c r="L37" t="n">
        <v>0</v>
      </c>
      <c r="M37" t="n">
        <v>0</v>
      </c>
      <c r="N37" t="n">
        <v>0</v>
      </c>
      <c r="O37" t="n">
        <v>0</v>
      </c>
      <c r="P37" t="n">
        <v>0</v>
      </c>
      <c r="Q37" t="n">
        <v>0</v>
      </c>
      <c r="R37" t="n">
        <v>0</v>
      </c>
      <c r="S37" t="n">
        <v>0</v>
      </c>
      <c r="T37" t="n">
        <v>0</v>
      </c>
      <c r="U37" t="n">
        <v>0</v>
      </c>
      <c r="V37" s="2" t="inlineStr"/>
    </row>
    <row r="38" ht="15" customHeight="1">
      <c r="A38" t="inlineStr">
        <is>
          <t>A 34693-2022</t>
        </is>
      </c>
      <c r="B38" t="inlineStr">
        <is>
          <t>avverkningsanmälan</t>
        </is>
      </c>
      <c r="C38" t="inlineStr">
        <is>
          <t>Föryngringsavverkning</t>
        </is>
      </c>
      <c r="D38" s="1" t="n">
        <v>44795</v>
      </c>
      <c r="E38" s="1" t="n">
        <v>46239</v>
      </c>
      <c r="F38" t="inlineStr">
        <is>
          <t>NORRBOTTENS LÄN</t>
        </is>
      </c>
      <c r="G38" t="inlineStr">
        <is>
          <t>KIRUNA</t>
        </is>
      </c>
      <c r="I38" t="n">
        <v>12.3</v>
      </c>
      <c r="J38" t="n">
        <v>0</v>
      </c>
      <c r="K38" t="n">
        <v>0</v>
      </c>
      <c r="L38" t="n">
        <v>0</v>
      </c>
      <c r="M38" t="n">
        <v>0</v>
      </c>
      <c r="N38" t="n">
        <v>0</v>
      </c>
      <c r="O38" t="n">
        <v>0</v>
      </c>
      <c r="P38" t="n">
        <v>0</v>
      </c>
      <c r="Q38" t="n">
        <v>0</v>
      </c>
      <c r="R38" t="n">
        <v>0</v>
      </c>
      <c r="S38" t="n">
        <v>0</v>
      </c>
      <c r="T38" t="n">
        <v>0</v>
      </c>
      <c r="U38" t="n">
        <v>0</v>
      </c>
      <c r="V38" s="2" t="inlineStr"/>
    </row>
    <row r="39" ht="15" customHeight="1">
      <c r="A39" t="inlineStr">
        <is>
          <t>A 23469-2022</t>
        </is>
      </c>
      <c r="B39" t="inlineStr">
        <is>
          <t>avverkningsanmälan</t>
        </is>
      </c>
      <c r="C39" t="inlineStr">
        <is>
          <t>Föryngringsavverkning</t>
        </is>
      </c>
      <c r="D39" s="1" t="n">
        <v>44721</v>
      </c>
      <c r="E39" s="1" t="n">
        <v>46239</v>
      </c>
      <c r="F39" t="inlineStr">
        <is>
          <t>NORRBOTTENS LÄN</t>
        </is>
      </c>
      <c r="G39" t="inlineStr">
        <is>
          <t>KIRUNA</t>
        </is>
      </c>
      <c r="I39" t="n">
        <v>11.8</v>
      </c>
      <c r="J39" t="n">
        <v>0</v>
      </c>
      <c r="K39" t="n">
        <v>0</v>
      </c>
      <c r="L39" t="n">
        <v>0</v>
      </c>
      <c r="M39" t="n">
        <v>0</v>
      </c>
      <c r="N39" t="n">
        <v>0</v>
      </c>
      <c r="O39" t="n">
        <v>0</v>
      </c>
      <c r="P39" t="n">
        <v>0</v>
      </c>
      <c r="Q39" t="n">
        <v>0</v>
      </c>
      <c r="R39" t="n">
        <v>0</v>
      </c>
      <c r="S39" t="n">
        <v>0</v>
      </c>
      <c r="T39" t="n">
        <v>0</v>
      </c>
      <c r="U39" t="n">
        <v>0</v>
      </c>
      <c r="V39" s="2" t="inlineStr"/>
    </row>
    <row r="40" ht="15" customHeight="1">
      <c r="A40" t="inlineStr">
        <is>
          <t>A 62439-2022</t>
        </is>
      </c>
      <c r="B40" t="inlineStr">
        <is>
          <t>avverkningsanmälan</t>
        </is>
      </c>
      <c r="C40" t="inlineStr">
        <is>
          <t>Föryngringsavverkning</t>
        </is>
      </c>
      <c r="D40" s="1" t="n">
        <v>44916</v>
      </c>
      <c r="E40" s="1" t="n">
        <v>46239</v>
      </c>
      <c r="F40" t="inlineStr">
        <is>
          <t>NORRBOTTENS LÄN</t>
        </is>
      </c>
      <c r="G40" t="inlineStr">
        <is>
          <t>KIRUNA</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62452-2022</t>
        </is>
      </c>
      <c r="B41" t="inlineStr">
        <is>
          <t>avverkningsanmälan</t>
        </is>
      </c>
      <c r="C41" t="inlineStr">
        <is>
          <t>Föryngringsavverkning</t>
        </is>
      </c>
      <c r="D41" s="1" t="n">
        <v>44916</v>
      </c>
      <c r="E41" s="1" t="n">
        <v>46239</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46239</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22504-2024</t>
        </is>
      </c>
      <c r="B43" t="inlineStr">
        <is>
          <t>avverkningsanmälan</t>
        </is>
      </c>
      <c r="C43" t="inlineStr">
        <is>
          <t>Föryngringsavverkning</t>
        </is>
      </c>
      <c r="D43" s="1" t="n">
        <v>45447</v>
      </c>
      <c r="E43" s="1" t="n">
        <v>46239</v>
      </c>
      <c r="F43" t="inlineStr">
        <is>
          <t>NORRBOTTENS LÄN</t>
        </is>
      </c>
      <c r="G43" t="inlineStr">
        <is>
          <t>KIRUNA</t>
        </is>
      </c>
      <c r="I43" t="n">
        <v>15.6</v>
      </c>
      <c r="J43" t="n">
        <v>0</v>
      </c>
      <c r="K43" t="n">
        <v>0</v>
      </c>
      <c r="L43" t="n">
        <v>0</v>
      </c>
      <c r="M43" t="n">
        <v>0</v>
      </c>
      <c r="N43" t="n">
        <v>0</v>
      </c>
      <c r="O43" t="n">
        <v>0</v>
      </c>
      <c r="P43" t="n">
        <v>0</v>
      </c>
      <c r="Q43" t="n">
        <v>0</v>
      </c>
      <c r="R43" t="n">
        <v>0</v>
      </c>
      <c r="S43" t="n">
        <v>0</v>
      </c>
      <c r="T43" t="n">
        <v>0</v>
      </c>
      <c r="U43" t="n">
        <v>0</v>
      </c>
      <c r="V43" s="2" t="inlineStr"/>
    </row>
    <row r="44" ht="15" customHeight="1">
      <c r="A44" t="inlineStr">
        <is>
          <t>A 5476-2024</t>
        </is>
      </c>
      <c r="B44" t="inlineStr">
        <is>
          <t>avverkningsanmälan</t>
        </is>
      </c>
      <c r="C44" t="inlineStr">
        <is>
          <t>Föryngringsavverkning</t>
        </is>
      </c>
      <c r="D44" s="1" t="n">
        <v>45333</v>
      </c>
      <c r="E44" s="1" t="n">
        <v>46239</v>
      </c>
      <c r="F44" t="inlineStr">
        <is>
          <t>NORRBOTTENS LÄN</t>
        </is>
      </c>
      <c r="G44" t="inlineStr">
        <is>
          <t>KIRUNA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5533-2024</t>
        </is>
      </c>
      <c r="B45" t="inlineStr">
        <is>
          <t>avverkningsanmälan</t>
        </is>
      </c>
      <c r="C45" t="inlineStr">
        <is>
          <t>Avverkning för annat ändamål</t>
        </is>
      </c>
      <c r="D45" s="1" t="n">
        <v>45334</v>
      </c>
      <c r="E45" s="1" t="n">
        <v>46239</v>
      </c>
      <c r="F45" t="inlineStr">
        <is>
          <t>NORRBOTTENS LÄN</t>
        </is>
      </c>
      <c r="G45" t="inlineStr">
        <is>
          <t>KIRUNA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56168-2023</t>
        </is>
      </c>
      <c r="B46" t="inlineStr">
        <is>
          <t>avverkningsanmälan</t>
        </is>
      </c>
      <c r="C46" t="inlineStr">
        <is>
          <t>Avverkning för annat ändamål</t>
        </is>
      </c>
      <c r="D46" s="1" t="n">
        <v>45236</v>
      </c>
      <c r="E46" s="1" t="n">
        <v>46239</v>
      </c>
      <c r="F46" t="inlineStr">
        <is>
          <t>NORRBOTTENS LÄN</t>
        </is>
      </c>
      <c r="G46" t="inlineStr">
        <is>
          <t>KIRUNA</t>
        </is>
      </c>
      <c r="H46" t="inlineStr">
        <is>
          <t>Sveaskog</t>
        </is>
      </c>
      <c r="I46" t="n">
        <v>6.6</v>
      </c>
      <c r="J46" t="n">
        <v>0</v>
      </c>
      <c r="K46" t="n">
        <v>0</v>
      </c>
      <c r="L46" t="n">
        <v>0</v>
      </c>
      <c r="M46" t="n">
        <v>0</v>
      </c>
      <c r="N46" t="n">
        <v>0</v>
      </c>
      <c r="O46" t="n">
        <v>0</v>
      </c>
      <c r="P46" t="n">
        <v>0</v>
      </c>
      <c r="Q46" t="n">
        <v>0</v>
      </c>
      <c r="R46" t="n">
        <v>0</v>
      </c>
      <c r="S46" t="n">
        <v>0</v>
      </c>
      <c r="T46" t="n">
        <v>0</v>
      </c>
      <c r="U46" t="n">
        <v>0</v>
      </c>
      <c r="V46" s="2" t="inlineStr"/>
    </row>
    <row r="47" ht="15" customHeight="1">
      <c r="A47" t="inlineStr">
        <is>
          <t>A 8350-2025</t>
        </is>
      </c>
      <c r="B47" t="inlineStr">
        <is>
          <t>avverkningsanmälan</t>
        </is>
      </c>
      <c r="C47" t="inlineStr">
        <is>
          <t>Avverkning för annat ändamål</t>
        </is>
      </c>
      <c r="D47" s="1" t="n">
        <v>45708</v>
      </c>
      <c r="E47" s="1" t="n">
        <v>46239</v>
      </c>
      <c r="F47" t="inlineStr">
        <is>
          <t>NORRBOTTENS LÄN</t>
        </is>
      </c>
      <c r="G47" t="inlineStr">
        <is>
          <t>KIRUNA</t>
        </is>
      </c>
      <c r="H47" t="inlineStr">
        <is>
          <t>Övriga statliga verk och myndigheter</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46239</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36939-2022</t>
        </is>
      </c>
      <c r="B49" t="inlineStr">
        <is>
          <t>avverkningsanmälan</t>
        </is>
      </c>
      <c r="C49" t="inlineStr">
        <is>
          <t>Avverkning för annat ändamål</t>
        </is>
      </c>
      <c r="D49" s="1" t="n">
        <v>44805</v>
      </c>
      <c r="E49" s="1" t="n">
        <v>46239</v>
      </c>
      <c r="F49" t="inlineStr">
        <is>
          <t>NORRBOTTENS LÄN</t>
        </is>
      </c>
      <c r="G49" t="inlineStr">
        <is>
          <t>KIRUNA</t>
        </is>
      </c>
      <c r="I49" t="n">
        <v>3.1</v>
      </c>
      <c r="J49" t="n">
        <v>0</v>
      </c>
      <c r="K49" t="n">
        <v>0</v>
      </c>
      <c r="L49" t="n">
        <v>0</v>
      </c>
      <c r="M49" t="n">
        <v>0</v>
      </c>
      <c r="N49" t="n">
        <v>0</v>
      </c>
      <c r="O49" t="n">
        <v>0</v>
      </c>
      <c r="P49" t="n">
        <v>0</v>
      </c>
      <c r="Q49" t="n">
        <v>0</v>
      </c>
      <c r="R49" t="n">
        <v>0</v>
      </c>
      <c r="S49" t="n">
        <v>0</v>
      </c>
      <c r="T49" t="n">
        <v>0</v>
      </c>
      <c r="U49" t="n">
        <v>0</v>
      </c>
      <c r="V49" s="2" t="inlineStr"/>
    </row>
    <row r="50" ht="15" customHeight="1">
      <c r="A50" t="inlineStr">
        <is>
          <t>A 41127-2023</t>
        </is>
      </c>
      <c r="B50" t="inlineStr">
        <is>
          <t>avverkningsanmälan</t>
        </is>
      </c>
      <c r="C50" t="inlineStr">
        <is>
          <t>Avverkning för annat ändamål</t>
        </is>
      </c>
      <c r="D50" s="1" t="n">
        <v>45173</v>
      </c>
      <c r="E50" s="1" t="n">
        <v>46239</v>
      </c>
      <c r="F50" t="inlineStr">
        <is>
          <t>NORRBOTTENS LÄN</t>
        </is>
      </c>
      <c r="G50" t="inlineStr">
        <is>
          <t>KIRUNA</t>
        </is>
      </c>
      <c r="H50" t="inlineStr">
        <is>
          <t>SCA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18721-2024</t>
        </is>
      </c>
      <c r="B51" t="inlineStr">
        <is>
          <t>avverkningsanmälan</t>
        </is>
      </c>
      <c r="C51" t="inlineStr">
        <is>
          <t>Föryngringsavverkning</t>
        </is>
      </c>
      <c r="D51" s="1" t="n">
        <v>45426</v>
      </c>
      <c r="E51" s="1" t="n">
        <v>46239</v>
      </c>
      <c r="F51" t="inlineStr">
        <is>
          <t>NORRBOTTENS LÄN</t>
        </is>
      </c>
      <c r="G51" t="inlineStr">
        <is>
          <t>KIRUNA</t>
        </is>
      </c>
      <c r="I51" t="n">
        <v>62.1</v>
      </c>
      <c r="J51" t="n">
        <v>0</v>
      </c>
      <c r="K51" t="n">
        <v>0</v>
      </c>
      <c r="L51" t="n">
        <v>0</v>
      </c>
      <c r="M51" t="n">
        <v>0</v>
      </c>
      <c r="N51" t="n">
        <v>0</v>
      </c>
      <c r="O51" t="n">
        <v>0</v>
      </c>
      <c r="P51" t="n">
        <v>0</v>
      </c>
      <c r="Q51" t="n">
        <v>0</v>
      </c>
      <c r="R51" t="n">
        <v>0</v>
      </c>
      <c r="S51" t="n">
        <v>0</v>
      </c>
      <c r="T51" t="n">
        <v>0</v>
      </c>
      <c r="U51" t="n">
        <v>0</v>
      </c>
      <c r="V51" s="2" t="inlineStr"/>
    </row>
    <row r="52" ht="15" customHeight="1">
      <c r="A52" t="inlineStr">
        <is>
          <t>A 50338-2025</t>
        </is>
      </c>
      <c r="B52" t="inlineStr">
        <is>
          <t>avverkningsanmälan</t>
        </is>
      </c>
      <c r="C52" t="inlineStr">
        <is>
          <t>Föryngringsavverkning</t>
        </is>
      </c>
      <c r="D52" s="1" t="n">
        <v>45944</v>
      </c>
      <c r="E52" s="1" t="n">
        <v>46239</v>
      </c>
      <c r="F52" t="inlineStr">
        <is>
          <t>NORRBOTTENS LÄN</t>
        </is>
      </c>
      <c r="G52" t="inlineStr">
        <is>
          <t>KIRUNA</t>
        </is>
      </c>
      <c r="H52" t="inlineStr">
        <is>
          <t>SCA</t>
        </is>
      </c>
      <c r="I52" t="n">
        <v>22.6</v>
      </c>
      <c r="J52" t="n">
        <v>0</v>
      </c>
      <c r="K52" t="n">
        <v>0</v>
      </c>
      <c r="L52" t="n">
        <v>0</v>
      </c>
      <c r="M52" t="n">
        <v>0</v>
      </c>
      <c r="N52" t="n">
        <v>0</v>
      </c>
      <c r="O52" t="n">
        <v>0</v>
      </c>
      <c r="P52" t="n">
        <v>0</v>
      </c>
      <c r="Q52" t="n">
        <v>0</v>
      </c>
      <c r="R52" t="n">
        <v>0</v>
      </c>
      <c r="S52" t="n">
        <v>0</v>
      </c>
      <c r="T52" t="n">
        <v>0</v>
      </c>
      <c r="U52" t="n">
        <v>0</v>
      </c>
      <c r="V52" s="2" t="inlineStr"/>
    </row>
    <row r="53" ht="15" customHeight="1">
      <c r="A53" t="inlineStr">
        <is>
          <t>A 21184-2025</t>
        </is>
      </c>
      <c r="B53" t="inlineStr">
        <is>
          <t>avverkningsanmälan</t>
        </is>
      </c>
      <c r="C53" t="inlineStr">
        <is>
          <t>Föryngringsavverkning</t>
        </is>
      </c>
      <c r="D53" s="1" t="n">
        <v>45777</v>
      </c>
      <c r="E53" s="1" t="n">
        <v>46239</v>
      </c>
      <c r="F53" t="inlineStr">
        <is>
          <t>NORRBOTTENS LÄN</t>
        </is>
      </c>
      <c r="G53" t="inlineStr">
        <is>
          <t>KIRUNA</t>
        </is>
      </c>
      <c r="I53" t="n">
        <v>20.1</v>
      </c>
      <c r="J53" t="n">
        <v>0</v>
      </c>
      <c r="K53" t="n">
        <v>0</v>
      </c>
      <c r="L53" t="n">
        <v>0</v>
      </c>
      <c r="M53" t="n">
        <v>0</v>
      </c>
      <c r="N53" t="n">
        <v>0</v>
      </c>
      <c r="O53" t="n">
        <v>0</v>
      </c>
      <c r="P53" t="n">
        <v>0</v>
      </c>
      <c r="Q53" t="n">
        <v>0</v>
      </c>
      <c r="R53" t="n">
        <v>0</v>
      </c>
      <c r="S53" t="n">
        <v>0</v>
      </c>
      <c r="T53" t="n">
        <v>0</v>
      </c>
      <c r="U53" t="n">
        <v>0</v>
      </c>
      <c r="V53" s="2" t="inlineStr"/>
    </row>
    <row r="54" ht="15" customHeight="1">
      <c r="A54" t="inlineStr">
        <is>
          <t>A 20893-2025</t>
        </is>
      </c>
      <c r="B54" t="inlineStr">
        <is>
          <t>avverkningsanmälan</t>
        </is>
      </c>
      <c r="C54" t="inlineStr">
        <is>
          <t>Föryngringsavverkning</t>
        </is>
      </c>
      <c r="D54" s="1" t="n">
        <v>45776</v>
      </c>
      <c r="E54" s="1" t="n">
        <v>46239</v>
      </c>
      <c r="F54" t="inlineStr">
        <is>
          <t>NORRBOTTENS LÄN</t>
        </is>
      </c>
      <c r="G54" t="inlineStr">
        <is>
          <t>KIRUNA</t>
        </is>
      </c>
      <c r="I54" t="n">
        <v>27.3</v>
      </c>
      <c r="J54" t="n">
        <v>0</v>
      </c>
      <c r="K54" t="n">
        <v>0</v>
      </c>
      <c r="L54" t="n">
        <v>0</v>
      </c>
      <c r="M54" t="n">
        <v>0</v>
      </c>
      <c r="N54" t="n">
        <v>0</v>
      </c>
      <c r="O54" t="n">
        <v>0</v>
      </c>
      <c r="P54" t="n">
        <v>0</v>
      </c>
      <c r="Q54" t="n">
        <v>0</v>
      </c>
      <c r="R54" t="n">
        <v>0</v>
      </c>
      <c r="S54" t="n">
        <v>0</v>
      </c>
      <c r="T54" t="n">
        <v>0</v>
      </c>
      <c r="U54" t="n">
        <v>0</v>
      </c>
      <c r="V54" s="2" t="inlineStr"/>
    </row>
    <row r="55" ht="15" customHeight="1">
      <c r="A55" t="inlineStr">
        <is>
          <t>A 21268-2026</t>
        </is>
      </c>
      <c r="B55" t="inlineStr">
        <is>
          <t>avverkningsanmälan</t>
        </is>
      </c>
      <c r="C55" t="inlineStr">
        <is>
          <t>Föryngringsavverkning</t>
        </is>
      </c>
      <c r="D55" s="1" t="n">
        <v>46147</v>
      </c>
      <c r="E55" s="1" t="n">
        <v>46239</v>
      </c>
      <c r="F55" t="inlineStr">
        <is>
          <t>NORRBOTTENS LÄN</t>
        </is>
      </c>
      <c r="G55" t="inlineStr">
        <is>
          <t>KIRUNA</t>
        </is>
      </c>
      <c r="I55" t="n">
        <v>35.7</v>
      </c>
      <c r="J55" t="n">
        <v>0</v>
      </c>
      <c r="K55" t="n">
        <v>0</v>
      </c>
      <c r="L55" t="n">
        <v>0</v>
      </c>
      <c r="M55" t="n">
        <v>0</v>
      </c>
      <c r="N55" t="n">
        <v>0</v>
      </c>
      <c r="O55" t="n">
        <v>0</v>
      </c>
      <c r="P55" t="n">
        <v>0</v>
      </c>
      <c r="Q55" t="n">
        <v>0</v>
      </c>
      <c r="R55" t="n">
        <v>0</v>
      </c>
      <c r="S55" t="n">
        <v>0</v>
      </c>
      <c r="T55" t="n">
        <v>0</v>
      </c>
      <c r="U55" t="n">
        <v>0</v>
      </c>
      <c r="V55" s="2" t="inlineStr"/>
    </row>
    <row r="56" ht="15" customHeight="1">
      <c r="A56" t="inlineStr">
        <is>
          <t>A 20578-2025</t>
        </is>
      </c>
      <c r="B56" t="inlineStr">
        <is>
          <t>avverkningsanmälan</t>
        </is>
      </c>
      <c r="C56" t="inlineStr">
        <is>
          <t>Föryngringsavverkning</t>
        </is>
      </c>
      <c r="D56" s="1" t="n">
        <v>45775</v>
      </c>
      <c r="E56" s="1" t="n">
        <v>46239</v>
      </c>
      <c r="F56" t="inlineStr">
        <is>
          <t>NORRBOTTENS LÄN</t>
        </is>
      </c>
      <c r="G56" t="inlineStr">
        <is>
          <t>KIRUNA</t>
        </is>
      </c>
      <c r="H56" t="inlineStr">
        <is>
          <t>Sveaskog</t>
        </is>
      </c>
      <c r="I56" t="n">
        <v>12.5</v>
      </c>
      <c r="J56" t="n">
        <v>0</v>
      </c>
      <c r="K56" t="n">
        <v>0</v>
      </c>
      <c r="L56" t="n">
        <v>0</v>
      </c>
      <c r="M56" t="n">
        <v>0</v>
      </c>
      <c r="N56" t="n">
        <v>0</v>
      </c>
      <c r="O56" t="n">
        <v>0</v>
      </c>
      <c r="P56" t="n">
        <v>0</v>
      </c>
      <c r="Q56" t="n">
        <v>0</v>
      </c>
      <c r="R56" t="n">
        <v>0</v>
      </c>
      <c r="S56" t="n">
        <v>0</v>
      </c>
      <c r="T56" t="n">
        <v>0</v>
      </c>
      <c r="U56" t="n">
        <v>0</v>
      </c>
      <c r="V56" s="2" t="inlineStr"/>
    </row>
    <row r="57" ht="15" customHeight="1">
      <c r="A57" t="inlineStr">
        <is>
          <t>A 50590-2023</t>
        </is>
      </c>
      <c r="B57" t="inlineStr">
        <is>
          <t>avverkningsanmälan</t>
        </is>
      </c>
      <c r="C57" t="inlineStr">
        <is>
          <t>Föryngringsavverkning</t>
        </is>
      </c>
      <c r="D57" s="1" t="n">
        <v>45217</v>
      </c>
      <c r="E57" s="1" t="n">
        <v>46239</v>
      </c>
      <c r="F57" t="inlineStr">
        <is>
          <t>NORRBOTTENS LÄN</t>
        </is>
      </c>
      <c r="G57" t="inlineStr">
        <is>
          <t>KIRUNA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30591-2026</t>
        </is>
      </c>
      <c r="B58" t="inlineStr">
        <is>
          <t>avverkningsanmälan</t>
        </is>
      </c>
      <c r="C58" t="inlineStr">
        <is>
          <t>Föryngringsavverkning</t>
        </is>
      </c>
      <c r="D58" s="1" t="n">
        <v>46210</v>
      </c>
      <c r="E58" s="1" t="n">
        <v>46239</v>
      </c>
      <c r="F58" t="inlineStr">
        <is>
          <t>NORRBOTTENS LÄN</t>
        </is>
      </c>
      <c r="G58" t="inlineStr">
        <is>
          <t>KIRUNA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30594-2026</t>
        </is>
      </c>
      <c r="B59" t="inlineStr">
        <is>
          <t>avverkningsanmälan</t>
        </is>
      </c>
      <c r="C59" t="inlineStr">
        <is>
          <t>Föryngringsavverkning</t>
        </is>
      </c>
      <c r="D59" s="1" t="n">
        <v>46210</v>
      </c>
      <c r="E59" s="1" t="n">
        <v>46239</v>
      </c>
      <c r="F59" t="inlineStr">
        <is>
          <t>NORRBOTTENS LÄN</t>
        </is>
      </c>
      <c r="G59" t="inlineStr">
        <is>
          <t>KIRUNA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46239</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46239</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148-2026</t>
        </is>
      </c>
      <c r="B62" t="inlineStr">
        <is>
          <t>avverkningsanmälan</t>
        </is>
      </c>
      <c r="C62" t="inlineStr">
        <is>
          <t>Föryngringsavverkning</t>
        </is>
      </c>
      <c r="D62" s="1" t="n">
        <v>46024</v>
      </c>
      <c r="E62" s="1" t="n">
        <v>46239</v>
      </c>
      <c r="F62" t="inlineStr">
        <is>
          <t>NORRBOTTENS LÄN</t>
        </is>
      </c>
      <c r="G62" t="inlineStr">
        <is>
          <t>KIRUNA</t>
        </is>
      </c>
      <c r="I62" t="n">
        <v>10.2</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46239</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30562-2026</t>
        </is>
      </c>
      <c r="B64" t="inlineStr">
        <is>
          <t>avverkningsanmälan</t>
        </is>
      </c>
      <c r="C64" t="inlineStr">
        <is>
          <t>Föryngringsavverkning</t>
        </is>
      </c>
      <c r="D64" s="1" t="n">
        <v>46210</v>
      </c>
      <c r="E64" s="1" t="n">
        <v>46239</v>
      </c>
      <c r="F64" t="inlineStr">
        <is>
          <t>NORRBOTTENS LÄN</t>
        </is>
      </c>
      <c r="G64" t="inlineStr">
        <is>
          <t>KIRUNA</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30524-2026</t>
        </is>
      </c>
      <c r="B65" t="inlineStr">
        <is>
          <t>avverkningsanmälan</t>
        </is>
      </c>
      <c r="C65" t="inlineStr">
        <is>
          <t>Föryngringsavverkning</t>
        </is>
      </c>
      <c r="D65" s="1" t="n">
        <v>46210</v>
      </c>
      <c r="E65" s="1" t="n">
        <v>46239</v>
      </c>
      <c r="F65" t="inlineStr">
        <is>
          <t>NORRBOTTENS LÄN</t>
        </is>
      </c>
      <c r="G65" t="inlineStr">
        <is>
          <t>KIRUNA</t>
        </is>
      </c>
      <c r="I65" t="n">
        <v>21.7</v>
      </c>
      <c r="J65" t="n">
        <v>0</v>
      </c>
      <c r="K65" t="n">
        <v>0</v>
      </c>
      <c r="L65" t="n">
        <v>0</v>
      </c>
      <c r="M65" t="n">
        <v>0</v>
      </c>
      <c r="N65" t="n">
        <v>0</v>
      </c>
      <c r="O65" t="n">
        <v>0</v>
      </c>
      <c r="P65" t="n">
        <v>0</v>
      </c>
      <c r="Q65" t="n">
        <v>0</v>
      </c>
      <c r="R65" t="n">
        <v>0</v>
      </c>
      <c r="S65" t="n">
        <v>0</v>
      </c>
      <c r="T65" t="n">
        <v>0</v>
      </c>
      <c r="U65" t="n">
        <v>0</v>
      </c>
      <c r="V65" s="2" t="inlineStr"/>
    </row>
    <row r="66" ht="15" customHeight="1">
      <c r="A66" t="inlineStr">
        <is>
          <t>A 28533-2026</t>
        </is>
      </c>
      <c r="B66" t="inlineStr">
        <is>
          <t>avverkningsanmälan</t>
        </is>
      </c>
      <c r="C66" t="inlineStr">
        <is>
          <t>Föryngringsavverkning</t>
        </is>
      </c>
      <c r="D66" s="1" t="n">
        <v>46197</v>
      </c>
      <c r="E66" s="1" t="n">
        <v>46239</v>
      </c>
      <c r="F66" t="inlineStr">
        <is>
          <t>NORRBOTTENS LÄN</t>
        </is>
      </c>
      <c r="G66" t="inlineStr">
        <is>
          <t>KIRUNA</t>
        </is>
      </c>
      <c r="I66" t="n">
        <v>54.2</v>
      </c>
      <c r="J66" t="n">
        <v>0</v>
      </c>
      <c r="K66" t="n">
        <v>0</v>
      </c>
      <c r="L66" t="n">
        <v>0</v>
      </c>
      <c r="M66" t="n">
        <v>0</v>
      </c>
      <c r="N66" t="n">
        <v>0</v>
      </c>
      <c r="O66" t="n">
        <v>0</v>
      </c>
      <c r="P66" t="n">
        <v>0</v>
      </c>
      <c r="Q66" t="n">
        <v>0</v>
      </c>
      <c r="R66" t="n">
        <v>0</v>
      </c>
      <c r="S66" t="n">
        <v>0</v>
      </c>
      <c r="T66" t="n">
        <v>0</v>
      </c>
      <c r="U66" t="n">
        <v>0</v>
      </c>
      <c r="V66" s="2" t="inlineStr"/>
    </row>
    <row r="67" ht="15" customHeight="1">
      <c r="A67" t="inlineStr">
        <is>
          <t>A 29048-2026</t>
        </is>
      </c>
      <c r="B67" t="inlineStr">
        <is>
          <t>avverkningsanmälan</t>
        </is>
      </c>
      <c r="C67" t="inlineStr">
        <is>
          <t>Föryngringsavverkning</t>
        </is>
      </c>
      <c r="D67" s="1" t="n">
        <v>46199</v>
      </c>
      <c r="E67" s="1" t="n">
        <v>46239</v>
      </c>
      <c r="F67" t="inlineStr">
        <is>
          <t>NORRBOTTENS LÄN</t>
        </is>
      </c>
      <c r="G67" t="inlineStr">
        <is>
          <t>KIRUNA</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29167-2026</t>
        </is>
      </c>
      <c r="B68" t="inlineStr">
        <is>
          <t>avverkningsanmälan</t>
        </is>
      </c>
      <c r="C68" t="inlineStr">
        <is>
          <t>Föryngringsavverkning</t>
        </is>
      </c>
      <c r="D68" s="1" t="n">
        <v>46202</v>
      </c>
      <c r="E68" s="1" t="n">
        <v>46239</v>
      </c>
      <c r="F68" t="inlineStr">
        <is>
          <t>NORRBOTTENS LÄN</t>
        </is>
      </c>
      <c r="G68" t="inlineStr">
        <is>
          <t>KIRUNA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30548-2026</t>
        </is>
      </c>
      <c r="B69" t="inlineStr">
        <is>
          <t>avverkningsanmälan</t>
        </is>
      </c>
      <c r="C69" t="inlineStr">
        <is>
          <t>Föryngringsavverkning</t>
        </is>
      </c>
      <c r="D69" s="1" t="n">
        <v>46210</v>
      </c>
      <c r="E69" s="1" t="n">
        <v>46239</v>
      </c>
      <c r="F69" t="inlineStr">
        <is>
          <t>NORRBOTTENS LÄN</t>
        </is>
      </c>
      <c r="G69" t="inlineStr">
        <is>
          <t>KIRUNA</t>
        </is>
      </c>
      <c r="I69" t="n">
        <v>25.3</v>
      </c>
      <c r="J69" t="n">
        <v>0</v>
      </c>
      <c r="K69" t="n">
        <v>0</v>
      </c>
      <c r="L69" t="n">
        <v>0</v>
      </c>
      <c r="M69" t="n">
        <v>0</v>
      </c>
      <c r="N69" t="n">
        <v>0</v>
      </c>
      <c r="O69" t="n">
        <v>0</v>
      </c>
      <c r="P69" t="n">
        <v>0</v>
      </c>
      <c r="Q69" t="n">
        <v>0</v>
      </c>
      <c r="R69" t="n">
        <v>0</v>
      </c>
      <c r="S69" t="n">
        <v>0</v>
      </c>
      <c r="T69" t="n">
        <v>0</v>
      </c>
      <c r="U69" t="n">
        <v>0</v>
      </c>
      <c r="V69" s="2" t="inlineStr"/>
    </row>
    <row r="70" ht="15" customHeight="1">
      <c r="A70" t="inlineStr">
        <is>
          <t>A 29171-2026</t>
        </is>
      </c>
      <c r="B70" t="inlineStr">
        <is>
          <t>avverkningsanmälan</t>
        </is>
      </c>
      <c r="C70" t="inlineStr">
        <is>
          <t>Föryngringsavverkning</t>
        </is>
      </c>
      <c r="D70" s="1" t="n">
        <v>46202</v>
      </c>
      <c r="E70" s="1" t="n">
        <v>46239</v>
      </c>
      <c r="F70" t="inlineStr">
        <is>
          <t>NORRBOTTENS LÄN</t>
        </is>
      </c>
      <c r="G70" t="inlineStr">
        <is>
          <t>KIRUNA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13405-2026</t>
        </is>
      </c>
      <c r="B71" t="inlineStr">
        <is>
          <t>avverkningsanmälan</t>
        </is>
      </c>
      <c r="C71" t="inlineStr">
        <is>
          <t>Föryngringsavverkning</t>
        </is>
      </c>
      <c r="D71" s="1" t="n">
        <v>46094</v>
      </c>
      <c r="E71" s="1" t="n">
        <v>46239</v>
      </c>
      <c r="F71" t="inlineStr">
        <is>
          <t>NORRBOTTENS LÄN</t>
        </is>
      </c>
      <c r="G71" t="inlineStr">
        <is>
          <t>KIRUNA</t>
        </is>
      </c>
      <c r="I71" t="n">
        <v>24.5</v>
      </c>
      <c r="J71" t="n">
        <v>0</v>
      </c>
      <c r="K71" t="n">
        <v>0</v>
      </c>
      <c r="L71" t="n">
        <v>0</v>
      </c>
      <c r="M71" t="n">
        <v>0</v>
      </c>
      <c r="N71" t="n">
        <v>0</v>
      </c>
      <c r="O71" t="n">
        <v>0</v>
      </c>
      <c r="P71" t="n">
        <v>0</v>
      </c>
      <c r="Q71" t="n">
        <v>0</v>
      </c>
      <c r="R71" t="n">
        <v>0</v>
      </c>
      <c r="S71" t="n">
        <v>0</v>
      </c>
      <c r="T71" t="n">
        <v>0</v>
      </c>
      <c r="U71" t="n">
        <v>0</v>
      </c>
      <c r="V71" s="2" t="inlineStr"/>
    </row>
    <row r="72" ht="15" customHeight="1">
      <c r="A72" t="inlineStr">
        <is>
          <t>A 29231-2026</t>
        </is>
      </c>
      <c r="B72" t="inlineStr">
        <is>
          <t>avverkningsanmälan</t>
        </is>
      </c>
      <c r="C72" t="inlineStr">
        <is>
          <t>Föryngringsavverkning</t>
        </is>
      </c>
      <c r="D72" s="1" t="n">
        <v>46202</v>
      </c>
      <c r="E72" s="1" t="n">
        <v>46239</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38577-2024</t>
        </is>
      </c>
      <c r="B73" t="inlineStr">
        <is>
          <t>avverkningsanmälan</t>
        </is>
      </c>
      <c r="C73" t="inlineStr">
        <is>
          <t>Föryngringsavverkning</t>
        </is>
      </c>
      <c r="D73" s="1" t="n">
        <v>45546</v>
      </c>
      <c r="E73" s="1" t="n">
        <v>46239</v>
      </c>
      <c r="F73" t="inlineStr">
        <is>
          <t>NORRBOTTENS LÄN</t>
        </is>
      </c>
      <c r="G73" t="inlineStr">
        <is>
          <t>KIRUNA</t>
        </is>
      </c>
      <c r="I73" t="n">
        <v>39.8</v>
      </c>
      <c r="J73" t="n">
        <v>0</v>
      </c>
      <c r="K73" t="n">
        <v>0</v>
      </c>
      <c r="L73" t="n">
        <v>0</v>
      </c>
      <c r="M73" t="n">
        <v>0</v>
      </c>
      <c r="N73" t="n">
        <v>0</v>
      </c>
      <c r="O73" t="n">
        <v>0</v>
      </c>
      <c r="P73" t="n">
        <v>0</v>
      </c>
      <c r="Q73" t="n">
        <v>0</v>
      </c>
      <c r="R73" t="n">
        <v>0</v>
      </c>
      <c r="S73" t="n">
        <v>0</v>
      </c>
      <c r="T73" t="n">
        <v>0</v>
      </c>
      <c r="U73" t="n">
        <v>0</v>
      </c>
      <c r="V73" s="2" t="inlineStr"/>
    </row>
    <row r="74" ht="15" customHeight="1">
      <c r="A74" t="inlineStr">
        <is>
          <t>A 13526-2024</t>
        </is>
      </c>
      <c r="B74" t="inlineStr">
        <is>
          <t>avverkningsanmälan</t>
        </is>
      </c>
      <c r="C74" t="inlineStr">
        <is>
          <t>Föryngringsavverkning</t>
        </is>
      </c>
      <c r="D74" s="1" t="n">
        <v>45387</v>
      </c>
      <c r="E74" s="1" t="n">
        <v>46239</v>
      </c>
      <c r="F74" t="inlineStr">
        <is>
          <t>NORRBOTTENS LÄN</t>
        </is>
      </c>
      <c r="G74" t="inlineStr">
        <is>
          <t>KIRUNA</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16197-2026</t>
        </is>
      </c>
      <c r="B75" t="inlineStr">
        <is>
          <t>avverkningsanmälan</t>
        </is>
      </c>
      <c r="C75" t="inlineStr">
        <is>
          <t>Avverkning för annat ändamål</t>
        </is>
      </c>
      <c r="D75" s="1" t="n">
        <v>46108</v>
      </c>
      <c r="E75" s="1" t="n">
        <v>46239</v>
      </c>
      <c r="F75" t="inlineStr">
        <is>
          <t>NORRBOTTENS LÄN</t>
        </is>
      </c>
      <c r="G75" t="inlineStr">
        <is>
          <t>KIRUNA</t>
        </is>
      </c>
      <c r="H75" t="inlineStr">
        <is>
          <t>Övriga statliga verk och myndigheter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39247-2023</t>
        </is>
      </c>
      <c r="B76" t="inlineStr">
        <is>
          <t>avverkningsanmälan</t>
        </is>
      </c>
      <c r="C76" t="inlineStr">
        <is>
          <t>Föryngringsavverkning</t>
        </is>
      </c>
      <c r="D76" s="1" t="n">
        <v>45162</v>
      </c>
      <c r="E76" s="1" t="n">
        <v>46239</v>
      </c>
      <c r="F76" t="inlineStr">
        <is>
          <t>NORRBOTTENS LÄN</t>
        </is>
      </c>
      <c r="G76" t="inlineStr">
        <is>
          <t>KIRUNA</t>
        </is>
      </c>
      <c r="I76" t="n">
        <v>11.7</v>
      </c>
      <c r="J76" t="n">
        <v>0</v>
      </c>
      <c r="K76" t="n">
        <v>0</v>
      </c>
      <c r="L76" t="n">
        <v>0</v>
      </c>
      <c r="M76" t="n">
        <v>0</v>
      </c>
      <c r="N76" t="n">
        <v>0</v>
      </c>
      <c r="O76" t="n">
        <v>0</v>
      </c>
      <c r="P76" t="n">
        <v>0</v>
      </c>
      <c r="Q76" t="n">
        <v>0</v>
      </c>
      <c r="R76" t="n">
        <v>0</v>
      </c>
      <c r="S76" t="n">
        <v>0</v>
      </c>
      <c r="T76" t="n">
        <v>0</v>
      </c>
      <c r="U76" t="n">
        <v>0</v>
      </c>
      <c r="V76" s="2" t="inlineStr"/>
    </row>
    <row r="77" ht="15" customHeight="1">
      <c r="A77" t="inlineStr">
        <is>
          <t>A 18388-2026</t>
        </is>
      </c>
      <c r="B77" t="inlineStr">
        <is>
          <t>avverkningsanmälan</t>
        </is>
      </c>
      <c r="C77" t="inlineStr">
        <is>
          <t>Föryngringsavverkning</t>
        </is>
      </c>
      <c r="D77" s="1" t="n">
        <v>46126</v>
      </c>
      <c r="E77" s="1" t="n">
        <v>46239</v>
      </c>
      <c r="F77" t="inlineStr">
        <is>
          <t>NORRBOTTENS LÄN</t>
        </is>
      </c>
      <c r="G77" t="inlineStr">
        <is>
          <t>KIRUNA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12937-2026</t>
        </is>
      </c>
      <c r="B78" t="inlineStr">
        <is>
          <t>avverkningsanmälan</t>
        </is>
      </c>
      <c r="C78" t="inlineStr">
        <is>
          <t>Föryngringsavverkning</t>
        </is>
      </c>
      <c r="D78" s="1" t="n">
        <v>46092</v>
      </c>
      <c r="E78" s="1" t="n">
        <v>46239</v>
      </c>
      <c r="F78" t="inlineStr">
        <is>
          <t>NORRBOTTENS LÄN</t>
        </is>
      </c>
      <c r="G78" t="inlineStr">
        <is>
          <t>KIRUNA</t>
        </is>
      </c>
      <c r="I78" t="n">
        <v>37.2</v>
      </c>
      <c r="J78" t="n">
        <v>0</v>
      </c>
      <c r="K78" t="n">
        <v>0</v>
      </c>
      <c r="L78" t="n">
        <v>0</v>
      </c>
      <c r="M78" t="n">
        <v>0</v>
      </c>
      <c r="N78" t="n">
        <v>0</v>
      </c>
      <c r="O78" t="n">
        <v>0</v>
      </c>
      <c r="P78" t="n">
        <v>0</v>
      </c>
      <c r="Q78" t="n">
        <v>0</v>
      </c>
      <c r="R78" t="n">
        <v>0</v>
      </c>
      <c r="S78" t="n">
        <v>0</v>
      </c>
      <c r="T78" t="n">
        <v>0</v>
      </c>
      <c r="U78" t="n">
        <v>0</v>
      </c>
      <c r="V78" s="2" t="inlineStr"/>
    </row>
    <row r="79" ht="15" customHeight="1">
      <c r="A79" t="inlineStr">
        <is>
          <t>A 12984-2026</t>
        </is>
      </c>
      <c r="B79" t="inlineStr">
        <is>
          <t>avverkningsanmälan</t>
        </is>
      </c>
      <c r="C79" t="inlineStr">
        <is>
          <t>Föryngringsavverkning</t>
        </is>
      </c>
      <c r="D79" s="1" t="n">
        <v>46092</v>
      </c>
      <c r="E79" s="1" t="n">
        <v>46239</v>
      </c>
      <c r="F79" t="inlineStr">
        <is>
          <t>NORRBOTTENS LÄN</t>
        </is>
      </c>
      <c r="G79" t="inlineStr">
        <is>
          <t>KIRUNA</t>
        </is>
      </c>
      <c r="I79" t="n">
        <v>18.2</v>
      </c>
      <c r="J79" t="n">
        <v>0</v>
      </c>
      <c r="K79" t="n">
        <v>0</v>
      </c>
      <c r="L79" t="n">
        <v>0</v>
      </c>
      <c r="M79" t="n">
        <v>0</v>
      </c>
      <c r="N79" t="n">
        <v>0</v>
      </c>
      <c r="O79" t="n">
        <v>0</v>
      </c>
      <c r="P79" t="n">
        <v>0</v>
      </c>
      <c r="Q79" t="n">
        <v>0</v>
      </c>
      <c r="R79" t="n">
        <v>0</v>
      </c>
      <c r="S79" t="n">
        <v>0</v>
      </c>
      <c r="T79" t="n">
        <v>0</v>
      </c>
      <c r="U79" t="n">
        <v>0</v>
      </c>
      <c r="V79" s="2" t="inlineStr"/>
    </row>
    <row r="80" ht="15" customHeight="1">
      <c r="A80" t="inlineStr">
        <is>
          <t>A 12969-2026</t>
        </is>
      </c>
      <c r="B80" t="inlineStr">
        <is>
          <t>avverkningsanmälan</t>
        </is>
      </c>
      <c r="C80" t="inlineStr">
        <is>
          <t>Föryngringsavverkning</t>
        </is>
      </c>
      <c r="D80" s="1" t="n">
        <v>46092</v>
      </c>
      <c r="E80" s="1" t="n">
        <v>46239</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20744-2024</t>
        </is>
      </c>
      <c r="B81" t="inlineStr">
        <is>
          <t>avverkningsanmälan</t>
        </is>
      </c>
      <c r="C81" t="inlineStr">
        <is>
          <t>Föryngringsavverkning</t>
        </is>
      </c>
      <c r="D81" s="1" t="n">
        <v>45436</v>
      </c>
      <c r="E81" s="1" t="n">
        <v>46239</v>
      </c>
      <c r="F81" t="inlineStr">
        <is>
          <t>NORRBOTTENS LÄN</t>
        </is>
      </c>
      <c r="G81" t="inlineStr">
        <is>
          <t>KIRUNA</t>
        </is>
      </c>
      <c r="I81" t="n">
        <v>9.699999999999999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18738-2022</t>
        </is>
      </c>
      <c r="B82" t="inlineStr">
        <is>
          <t>avverkningsanmälan</t>
        </is>
      </c>
      <c r="C82" t="inlineStr">
        <is>
          <t>Avverkning för annat ändamål</t>
        </is>
      </c>
      <c r="D82" s="1" t="n">
        <v>44687</v>
      </c>
      <c r="E82" s="1" t="n">
        <v>46239</v>
      </c>
      <c r="F82" t="inlineStr">
        <is>
          <t>NORRBOTTENS LÄN</t>
        </is>
      </c>
      <c r="G82" t="inlineStr">
        <is>
          <t>KIRUNA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28707-2022</t>
        </is>
      </c>
      <c r="B83" t="inlineStr">
        <is>
          <t>avverkningsanmälan</t>
        </is>
      </c>
      <c r="C83" t="inlineStr">
        <is>
          <t>Föryngringsavverkning</t>
        </is>
      </c>
      <c r="D83" s="1" t="n">
        <v>44748</v>
      </c>
      <c r="E83" s="1" t="n">
        <v>46239</v>
      </c>
      <c r="F83" t="inlineStr">
        <is>
          <t>NORRBOTTENS LÄN</t>
        </is>
      </c>
      <c r="G83" t="inlineStr">
        <is>
          <t>KIRUNA</t>
        </is>
      </c>
      <c r="I83" t="n">
        <v>15.2</v>
      </c>
      <c r="J83" t="n">
        <v>0</v>
      </c>
      <c r="K83" t="n">
        <v>0</v>
      </c>
      <c r="L83" t="n">
        <v>0</v>
      </c>
      <c r="M83" t="n">
        <v>0</v>
      </c>
      <c r="N83" t="n">
        <v>0</v>
      </c>
      <c r="O83" t="n">
        <v>0</v>
      </c>
      <c r="P83" t="n">
        <v>0</v>
      </c>
      <c r="Q83" t="n">
        <v>0</v>
      </c>
      <c r="R83" t="n">
        <v>0</v>
      </c>
      <c r="S83" t="n">
        <v>0</v>
      </c>
      <c r="T83" t="n">
        <v>0</v>
      </c>
      <c r="U83" t="n">
        <v>0</v>
      </c>
      <c r="V83" s="2" t="inlineStr"/>
    </row>
    <row r="84" ht="15" customHeight="1">
      <c r="A84" t="inlineStr">
        <is>
          <t>A 39006-2023</t>
        </is>
      </c>
      <c r="B84" t="inlineStr">
        <is>
          <t>avverkningsanmälan</t>
        </is>
      </c>
      <c r="C84" t="inlineStr">
        <is>
          <t>Avverkning för annat ändamål</t>
        </is>
      </c>
      <c r="D84" s="1" t="n">
        <v>45162</v>
      </c>
      <c r="E84" s="1" t="n">
        <v>46239</v>
      </c>
      <c r="F84" t="inlineStr">
        <is>
          <t>NORRBOTTENS LÄN</t>
        </is>
      </c>
      <c r="G84" t="inlineStr">
        <is>
          <t>KIRUNA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39271-2023</t>
        </is>
      </c>
      <c r="B85" t="inlineStr">
        <is>
          <t>avverkningsanmälan</t>
        </is>
      </c>
      <c r="C85" t="inlineStr">
        <is>
          <t>Föryngringsavverkning</t>
        </is>
      </c>
      <c r="D85" s="1" t="n">
        <v>45162</v>
      </c>
      <c r="E85" s="1" t="n">
        <v>46239</v>
      </c>
      <c r="F85" t="inlineStr">
        <is>
          <t>NORRBOTTENS LÄN</t>
        </is>
      </c>
      <c r="G85" t="inlineStr">
        <is>
          <t>KIRUNA</t>
        </is>
      </c>
      <c r="I85" t="n">
        <v>51.9</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46239</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2026-08-05T20:36:33Z</dcterms:created>
  <dcterms:modified xmlns:dcterms="http://purl.org/dc/terms/" xmlns:xsi="http://www.w3.org/2001/XMLSchema-instance" xsi:type="dcterms:W3CDTF">2026-08-05T20:36:33Z</dcterms:modified>
</cp:coreProperties>
</file>