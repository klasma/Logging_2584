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46031</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46031</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46031</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46031</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46031</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46031</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46031</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46031</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46031</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46031</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4367-2024</t>
        </is>
      </c>
      <c r="B13" s="1" t="n">
        <v>45326</v>
      </c>
      <c r="C13" s="1" t="n">
        <v>46031</v>
      </c>
      <c r="D13" t="inlineStr">
        <is>
          <t>NORRBOTTENS LÄN</t>
        </is>
      </c>
      <c r="E13" t="inlineStr">
        <is>
          <t>KIRUNA</t>
        </is>
      </c>
      <c r="G13" t="n">
        <v>7.5</v>
      </c>
      <c r="H13" t="n">
        <v>0</v>
      </c>
      <c r="I13" t="n">
        <v>0</v>
      </c>
      <c r="J13" t="n">
        <v>2</v>
      </c>
      <c r="K13" t="n">
        <v>0</v>
      </c>
      <c r="L13" t="n">
        <v>0</v>
      </c>
      <c r="M13" t="n">
        <v>0</v>
      </c>
      <c r="N13" t="n">
        <v>0</v>
      </c>
      <c r="O13" t="n">
        <v>2</v>
      </c>
      <c r="P13" t="n">
        <v>0</v>
      </c>
      <c r="Q13" t="n">
        <v>2</v>
      </c>
      <c r="R13" s="2" t="inlineStr">
        <is>
          <t>Granticka
Tallticka</t>
        </is>
      </c>
      <c r="S13">
        <f>HYPERLINK("https://klasma.github.io/Logging_2584/artfynd/A 4367-2024 artfynd.xlsx", "A 4367-2024")</f>
        <v/>
      </c>
      <c r="T13">
        <f>HYPERLINK("https://klasma.github.io/Logging_2584/kartor/A 4367-2024 karta.png", "A 4367-2024")</f>
        <v/>
      </c>
      <c r="V13">
        <f>HYPERLINK("https://klasma.github.io/Logging_2584/klagomål/A 4367-2024 FSC-klagomål.docx", "A 4367-2024")</f>
        <v/>
      </c>
      <c r="W13">
        <f>HYPERLINK("https://klasma.github.io/Logging_2584/klagomålsmail/A 4367-2024 FSC-klagomål mail.docx", "A 4367-2024")</f>
        <v/>
      </c>
      <c r="X13">
        <f>HYPERLINK("https://klasma.github.io/Logging_2584/tillsyn/A 4367-2024 tillsynsbegäran.docx", "A 4367-2024")</f>
        <v/>
      </c>
      <c r="Y13">
        <f>HYPERLINK("https://klasma.github.io/Logging_2584/tillsynsmail/A 4367-2024 tillsynsbegäran mail.docx", "A 4367-2024")</f>
        <v/>
      </c>
    </row>
    <row r="14" ht="15" customHeight="1">
      <c r="A14" t="inlineStr">
        <is>
          <t>A 45810-2022</t>
        </is>
      </c>
      <c r="B14" s="1" t="n">
        <v>44844</v>
      </c>
      <c r="C14" s="1" t="n">
        <v>46031</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46031</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46031</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46031</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46031</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46031</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46031</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46031</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46031</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46031</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46031</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46031</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46031</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46031</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46031</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46031</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46031</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148-2026</t>
        </is>
      </c>
      <c r="B31" s="1" t="n">
        <v>46024.6446875</v>
      </c>
      <c r="C31" s="1" t="n">
        <v>46031</v>
      </c>
      <c r="D31" t="inlineStr">
        <is>
          <t>NORRBOTTENS LÄN</t>
        </is>
      </c>
      <c r="E31" t="inlineStr">
        <is>
          <t>KIRUNA</t>
        </is>
      </c>
      <c r="G31" t="n">
        <v>10.2</v>
      </c>
      <c r="H31" t="n">
        <v>0</v>
      </c>
      <c r="I31" t="n">
        <v>0</v>
      </c>
      <c r="J31" t="n">
        <v>0</v>
      </c>
      <c r="K31" t="n">
        <v>0</v>
      </c>
      <c r="L31" t="n">
        <v>0</v>
      </c>
      <c r="M31" t="n">
        <v>0</v>
      </c>
      <c r="N31" t="n">
        <v>0</v>
      </c>
      <c r="O31" t="n">
        <v>0</v>
      </c>
      <c r="P31" t="n">
        <v>0</v>
      </c>
      <c r="Q31" t="n">
        <v>0</v>
      </c>
      <c r="R31" s="2" t="inlineStr"/>
    </row>
    <row r="32" ht="15" customHeight="1">
      <c r="A32" t="inlineStr">
        <is>
          <t>A 61066-2024</t>
        </is>
      </c>
      <c r="B32" s="1" t="n">
        <v>45645.49744212963</v>
      </c>
      <c r="C32" s="1" t="n">
        <v>46031</v>
      </c>
      <c r="D32" t="inlineStr">
        <is>
          <t>NORRBOTTENS LÄN</t>
        </is>
      </c>
      <c r="E32" t="inlineStr">
        <is>
          <t>KIRUNA</t>
        </is>
      </c>
      <c r="G32" t="n">
        <v>4.5</v>
      </c>
      <c r="H32" t="n">
        <v>0</v>
      </c>
      <c r="I32" t="n">
        <v>0</v>
      </c>
      <c r="J32" t="n">
        <v>0</v>
      </c>
      <c r="K32" t="n">
        <v>0</v>
      </c>
      <c r="L32" t="n">
        <v>0</v>
      </c>
      <c r="M32" t="n">
        <v>0</v>
      </c>
      <c r="N32" t="n">
        <v>0</v>
      </c>
      <c r="O32" t="n">
        <v>0</v>
      </c>
      <c r="P32" t="n">
        <v>0</v>
      </c>
      <c r="Q32" t="n">
        <v>0</v>
      </c>
      <c r="R32" s="2" t="inlineStr"/>
    </row>
    <row r="33" ht="15" customHeight="1">
      <c r="A33" t="inlineStr">
        <is>
          <t>A 18698-2025</t>
        </is>
      </c>
      <c r="B33" s="1" t="n">
        <v>45763</v>
      </c>
      <c r="C33" s="1" t="n">
        <v>46031</v>
      </c>
      <c r="D33" t="inlineStr">
        <is>
          <t>NORRBOTTENS LÄN</t>
        </is>
      </c>
      <c r="E33" t="inlineStr">
        <is>
          <t>KIRUNA</t>
        </is>
      </c>
      <c r="G33" t="n">
        <v>29.7</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46031</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46031</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50590-2023</t>
        </is>
      </c>
      <c r="B36" s="1" t="n">
        <v>45217.40167824074</v>
      </c>
      <c r="C36" s="1" t="n">
        <v>46031</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60064-2023</t>
        </is>
      </c>
      <c r="B37" s="1" t="n">
        <v>45258.3846412037</v>
      </c>
      <c r="C37" s="1" t="n">
        <v>46031</v>
      </c>
      <c r="D37" t="inlineStr">
        <is>
          <t>NORRBOTTENS LÄN</t>
        </is>
      </c>
      <c r="E37" t="inlineStr">
        <is>
          <t>KIRUNA</t>
        </is>
      </c>
      <c r="G37" t="n">
        <v>19.8</v>
      </c>
      <c r="H37" t="n">
        <v>0</v>
      </c>
      <c r="I37" t="n">
        <v>0</v>
      </c>
      <c r="J37" t="n">
        <v>0</v>
      </c>
      <c r="K37" t="n">
        <v>0</v>
      </c>
      <c r="L37" t="n">
        <v>0</v>
      </c>
      <c r="M37" t="n">
        <v>0</v>
      </c>
      <c r="N37" t="n">
        <v>0</v>
      </c>
      <c r="O37" t="n">
        <v>0</v>
      </c>
      <c r="P37" t="n">
        <v>0</v>
      </c>
      <c r="Q37" t="n">
        <v>0</v>
      </c>
      <c r="R37" s="2" t="inlineStr"/>
    </row>
    <row r="38" ht="15" customHeight="1">
      <c r="A38" t="inlineStr">
        <is>
          <t>A 9069-2023</t>
        </is>
      </c>
      <c r="B38" s="1" t="n">
        <v>44979</v>
      </c>
      <c r="C38" s="1" t="n">
        <v>46031</v>
      </c>
      <c r="D38" t="inlineStr">
        <is>
          <t>NORRBOTTENS LÄN</t>
        </is>
      </c>
      <c r="E38" t="inlineStr">
        <is>
          <t>KIRUNA</t>
        </is>
      </c>
      <c r="F38" t="inlineStr">
        <is>
          <t>SCA</t>
        </is>
      </c>
      <c r="G38" t="n">
        <v>4</v>
      </c>
      <c r="H38" t="n">
        <v>0</v>
      </c>
      <c r="I38" t="n">
        <v>0</v>
      </c>
      <c r="J38" t="n">
        <v>0</v>
      </c>
      <c r="K38" t="n">
        <v>0</v>
      </c>
      <c r="L38" t="n">
        <v>0</v>
      </c>
      <c r="M38" t="n">
        <v>0</v>
      </c>
      <c r="N38" t="n">
        <v>0</v>
      </c>
      <c r="O38" t="n">
        <v>0</v>
      </c>
      <c r="P38" t="n">
        <v>0</v>
      </c>
      <c r="Q38" t="n">
        <v>0</v>
      </c>
      <c r="R38" s="2" t="inlineStr"/>
    </row>
    <row r="39" ht="15" customHeight="1">
      <c r="A39" t="inlineStr">
        <is>
          <t>A 29932-2021</t>
        </is>
      </c>
      <c r="B39" s="1" t="n">
        <v>44362</v>
      </c>
      <c r="C39" s="1" t="n">
        <v>46031</v>
      </c>
      <c r="D39" t="inlineStr">
        <is>
          <t>NORRBOTTENS LÄN</t>
        </is>
      </c>
      <c r="E39" t="inlineStr">
        <is>
          <t>KIRUNA</t>
        </is>
      </c>
      <c r="G39" t="n">
        <v>9.1</v>
      </c>
      <c r="H39" t="n">
        <v>0</v>
      </c>
      <c r="I39" t="n">
        <v>0</v>
      </c>
      <c r="J39" t="n">
        <v>0</v>
      </c>
      <c r="K39" t="n">
        <v>0</v>
      </c>
      <c r="L39" t="n">
        <v>0</v>
      </c>
      <c r="M39" t="n">
        <v>0</v>
      </c>
      <c r="N39" t="n">
        <v>0</v>
      </c>
      <c r="O39" t="n">
        <v>0</v>
      </c>
      <c r="P39" t="n">
        <v>0</v>
      </c>
      <c r="Q39" t="n">
        <v>0</v>
      </c>
      <c r="R39" s="2" t="inlineStr"/>
    </row>
    <row r="40" ht="15" customHeight="1">
      <c r="A40" t="inlineStr">
        <is>
          <t>A 62439-2022</t>
        </is>
      </c>
      <c r="B40" s="1" t="n">
        <v>44916</v>
      </c>
      <c r="C40" s="1" t="n">
        <v>46031</v>
      </c>
      <c r="D40" t="inlineStr">
        <is>
          <t>NORRBOTTENS LÄN</t>
        </is>
      </c>
      <c r="E40" t="inlineStr">
        <is>
          <t>KIRUNA</t>
        </is>
      </c>
      <c r="G40" t="n">
        <v>3.2</v>
      </c>
      <c r="H40" t="n">
        <v>0</v>
      </c>
      <c r="I40" t="n">
        <v>0</v>
      </c>
      <c r="J40" t="n">
        <v>0</v>
      </c>
      <c r="K40" t="n">
        <v>0</v>
      </c>
      <c r="L40" t="n">
        <v>0</v>
      </c>
      <c r="M40" t="n">
        <v>0</v>
      </c>
      <c r="N40" t="n">
        <v>0</v>
      </c>
      <c r="O40" t="n">
        <v>0</v>
      </c>
      <c r="P40" t="n">
        <v>0</v>
      </c>
      <c r="Q40" t="n">
        <v>0</v>
      </c>
      <c r="R40" s="2" t="inlineStr"/>
    </row>
    <row r="41" ht="15" customHeight="1">
      <c r="A41" t="inlineStr">
        <is>
          <t>A 22491-2024</t>
        </is>
      </c>
      <c r="B41" s="1" t="n">
        <v>45447</v>
      </c>
      <c r="C41" s="1" t="n">
        <v>46031</v>
      </c>
      <c r="D41" t="inlineStr">
        <is>
          <t>NORRBOTTENS LÄN</t>
        </is>
      </c>
      <c r="E41" t="inlineStr">
        <is>
          <t>KIRUNA</t>
        </is>
      </c>
      <c r="G41" t="n">
        <v>9</v>
      </c>
      <c r="H41" t="n">
        <v>0</v>
      </c>
      <c r="I41" t="n">
        <v>0</v>
      </c>
      <c r="J41" t="n">
        <v>0</v>
      </c>
      <c r="K41" t="n">
        <v>0</v>
      </c>
      <c r="L41" t="n">
        <v>0</v>
      </c>
      <c r="M41" t="n">
        <v>0</v>
      </c>
      <c r="N41" t="n">
        <v>0</v>
      </c>
      <c r="O41" t="n">
        <v>0</v>
      </c>
      <c r="P41" t="n">
        <v>0</v>
      </c>
      <c r="Q41" t="n">
        <v>0</v>
      </c>
      <c r="R41" s="2" t="inlineStr"/>
    </row>
    <row r="42" ht="15" customHeight="1">
      <c r="A42" t="inlineStr">
        <is>
          <t>A 22504-2024</t>
        </is>
      </c>
      <c r="B42" s="1" t="n">
        <v>45447</v>
      </c>
      <c r="C42" s="1" t="n">
        <v>46031</v>
      </c>
      <c r="D42" t="inlineStr">
        <is>
          <t>NORRBOTTENS LÄN</t>
        </is>
      </c>
      <c r="E42" t="inlineStr">
        <is>
          <t>KIRUNA</t>
        </is>
      </c>
      <c r="G42" t="n">
        <v>15.6</v>
      </c>
      <c r="H42" t="n">
        <v>0</v>
      </c>
      <c r="I42" t="n">
        <v>0</v>
      </c>
      <c r="J42" t="n">
        <v>0</v>
      </c>
      <c r="K42" t="n">
        <v>0</v>
      </c>
      <c r="L42" t="n">
        <v>0</v>
      </c>
      <c r="M42" t="n">
        <v>0</v>
      </c>
      <c r="N42" t="n">
        <v>0</v>
      </c>
      <c r="O42" t="n">
        <v>0</v>
      </c>
      <c r="P42" t="n">
        <v>0</v>
      </c>
      <c r="Q42" t="n">
        <v>0</v>
      </c>
      <c r="R42" s="2" t="inlineStr"/>
    </row>
    <row r="43" ht="15" customHeight="1">
      <c r="A43" t="inlineStr">
        <is>
          <t>A 5476-2024</t>
        </is>
      </c>
      <c r="B43" s="1" t="n">
        <v>45333</v>
      </c>
      <c r="C43" s="1" t="n">
        <v>46031</v>
      </c>
      <c r="D43" t="inlineStr">
        <is>
          <t>NORRBOTTENS LÄN</t>
        </is>
      </c>
      <c r="E43" t="inlineStr">
        <is>
          <t>KIRUNA</t>
        </is>
      </c>
      <c r="G43" t="n">
        <v>1.8</v>
      </c>
      <c r="H43" t="n">
        <v>0</v>
      </c>
      <c r="I43" t="n">
        <v>0</v>
      </c>
      <c r="J43" t="n">
        <v>0</v>
      </c>
      <c r="K43" t="n">
        <v>0</v>
      </c>
      <c r="L43" t="n">
        <v>0</v>
      </c>
      <c r="M43" t="n">
        <v>0</v>
      </c>
      <c r="N43" t="n">
        <v>0</v>
      </c>
      <c r="O43" t="n">
        <v>0</v>
      </c>
      <c r="P43" t="n">
        <v>0</v>
      </c>
      <c r="Q43" t="n">
        <v>0</v>
      </c>
      <c r="R43" s="2" t="inlineStr"/>
    </row>
    <row r="44" ht="15" customHeight="1">
      <c r="A44" t="inlineStr">
        <is>
          <t>A 18721-2024</t>
        </is>
      </c>
      <c r="B44" s="1" t="n">
        <v>45426</v>
      </c>
      <c r="C44" s="1" t="n">
        <v>46031</v>
      </c>
      <c r="D44" t="inlineStr">
        <is>
          <t>NORRBOTTENS LÄN</t>
        </is>
      </c>
      <c r="E44" t="inlineStr">
        <is>
          <t>KIRUNA</t>
        </is>
      </c>
      <c r="G44" t="n">
        <v>62.1</v>
      </c>
      <c r="H44" t="n">
        <v>0</v>
      </c>
      <c r="I44" t="n">
        <v>0</v>
      </c>
      <c r="J44" t="n">
        <v>0</v>
      </c>
      <c r="K44" t="n">
        <v>0</v>
      </c>
      <c r="L44" t="n">
        <v>0</v>
      </c>
      <c r="M44" t="n">
        <v>0</v>
      </c>
      <c r="N44" t="n">
        <v>0</v>
      </c>
      <c r="O44" t="n">
        <v>0</v>
      </c>
      <c r="P44" t="n">
        <v>0</v>
      </c>
      <c r="Q44" t="n">
        <v>0</v>
      </c>
      <c r="R44" s="2" t="inlineStr"/>
    </row>
    <row r="45" ht="15" customHeight="1">
      <c r="A45" t="inlineStr">
        <is>
          <t>A 50338-2025</t>
        </is>
      </c>
      <c r="B45" s="1" t="n">
        <v>45944.52140046296</v>
      </c>
      <c r="C45" s="1" t="n">
        <v>46031</v>
      </c>
      <c r="D45" t="inlineStr">
        <is>
          <t>NORRBOTTENS LÄN</t>
        </is>
      </c>
      <c r="E45" t="inlineStr">
        <is>
          <t>KIRUNA</t>
        </is>
      </c>
      <c r="F45" t="inlineStr">
        <is>
          <t>SCA</t>
        </is>
      </c>
      <c r="G45" t="n">
        <v>22.6</v>
      </c>
      <c r="H45" t="n">
        <v>0</v>
      </c>
      <c r="I45" t="n">
        <v>0</v>
      </c>
      <c r="J45" t="n">
        <v>0</v>
      </c>
      <c r="K45" t="n">
        <v>0</v>
      </c>
      <c r="L45" t="n">
        <v>0</v>
      </c>
      <c r="M45" t="n">
        <v>0</v>
      </c>
      <c r="N45" t="n">
        <v>0</v>
      </c>
      <c r="O45" t="n">
        <v>0</v>
      </c>
      <c r="P45" t="n">
        <v>0</v>
      </c>
      <c r="Q45" t="n">
        <v>0</v>
      </c>
      <c r="R45" s="2" t="inlineStr"/>
    </row>
    <row r="46" ht="15" customHeight="1">
      <c r="A46" t="inlineStr">
        <is>
          <t>A 9068-2023</t>
        </is>
      </c>
      <c r="B46" s="1" t="n">
        <v>44979</v>
      </c>
      <c r="C46" s="1" t="n">
        <v>46031</v>
      </c>
      <c r="D46" t="inlineStr">
        <is>
          <t>NORRBOTTENS LÄN</t>
        </is>
      </c>
      <c r="E46" t="inlineStr">
        <is>
          <t>KIRUNA</t>
        </is>
      </c>
      <c r="F46" t="inlineStr">
        <is>
          <t>SCA</t>
        </is>
      </c>
      <c r="G46" t="n">
        <v>4.6</v>
      </c>
      <c r="H46" t="n">
        <v>0</v>
      </c>
      <c r="I46" t="n">
        <v>0</v>
      </c>
      <c r="J46" t="n">
        <v>0</v>
      </c>
      <c r="K46" t="n">
        <v>0</v>
      </c>
      <c r="L46" t="n">
        <v>0</v>
      </c>
      <c r="M46" t="n">
        <v>0</v>
      </c>
      <c r="N46" t="n">
        <v>0</v>
      </c>
      <c r="O46" t="n">
        <v>0</v>
      </c>
      <c r="P46" t="n">
        <v>0</v>
      </c>
      <c r="Q46" t="n">
        <v>0</v>
      </c>
      <c r="R46" s="2" t="inlineStr"/>
    </row>
    <row r="47" ht="15" customHeight="1">
      <c r="A47" t="inlineStr">
        <is>
          <t>A 23469-2022</t>
        </is>
      </c>
      <c r="B47" s="1" t="n">
        <v>44721</v>
      </c>
      <c r="C47" s="1" t="n">
        <v>46031</v>
      </c>
      <c r="D47" t="inlineStr">
        <is>
          <t>NORRBOTTENS LÄN</t>
        </is>
      </c>
      <c r="E47" t="inlineStr">
        <is>
          <t>KIRUNA</t>
        </is>
      </c>
      <c r="G47" t="n">
        <v>11.8</v>
      </c>
      <c r="H47" t="n">
        <v>0</v>
      </c>
      <c r="I47" t="n">
        <v>0</v>
      </c>
      <c r="J47" t="n">
        <v>0</v>
      </c>
      <c r="K47" t="n">
        <v>0</v>
      </c>
      <c r="L47" t="n">
        <v>0</v>
      </c>
      <c r="M47" t="n">
        <v>0</v>
      </c>
      <c r="N47" t="n">
        <v>0</v>
      </c>
      <c r="O47" t="n">
        <v>0</v>
      </c>
      <c r="P47" t="n">
        <v>0</v>
      </c>
      <c r="Q47" t="n">
        <v>0</v>
      </c>
      <c r="R47" s="2" t="inlineStr"/>
    </row>
    <row r="48" ht="15" customHeight="1">
      <c r="A48" t="inlineStr">
        <is>
          <t>A 62452-2022</t>
        </is>
      </c>
      <c r="B48" s="1" t="n">
        <v>44916</v>
      </c>
      <c r="C48" s="1" t="n">
        <v>46031</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46031</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47730-2024</t>
        </is>
      </c>
      <c r="B50" s="1" t="n">
        <v>45588</v>
      </c>
      <c r="C50" s="1" t="n">
        <v>46031</v>
      </c>
      <c r="D50" t="inlineStr">
        <is>
          <t>NORRBOTTENS LÄN</t>
        </is>
      </c>
      <c r="E50" t="inlineStr">
        <is>
          <t>KIRUNA</t>
        </is>
      </c>
      <c r="F50" t="inlineStr">
        <is>
          <t>Allmännings- och besparingsskogar</t>
        </is>
      </c>
      <c r="G50" t="n">
        <v>3.7</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46031</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46031</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33183-2025</t>
        </is>
      </c>
      <c r="B53" s="1" t="n">
        <v>45840.59206018518</v>
      </c>
      <c r="C53" s="1" t="n">
        <v>46031</v>
      </c>
      <c r="D53" t="inlineStr">
        <is>
          <t>NORRBOTTENS LÄN</t>
        </is>
      </c>
      <c r="E53" t="inlineStr">
        <is>
          <t>KIRUNA</t>
        </is>
      </c>
      <c r="G53" t="n">
        <v>2.8</v>
      </c>
      <c r="H53" t="n">
        <v>0</v>
      </c>
      <c r="I53" t="n">
        <v>0</v>
      </c>
      <c r="J53" t="n">
        <v>0</v>
      </c>
      <c r="K53" t="n">
        <v>0</v>
      </c>
      <c r="L53" t="n">
        <v>0</v>
      </c>
      <c r="M53" t="n">
        <v>0</v>
      </c>
      <c r="N53" t="n">
        <v>0</v>
      </c>
      <c r="O53" t="n">
        <v>0</v>
      </c>
      <c r="P53" t="n">
        <v>0</v>
      </c>
      <c r="Q53" t="n">
        <v>0</v>
      </c>
      <c r="R53" s="2" t="inlineStr"/>
    </row>
    <row r="54" ht="15" customHeight="1">
      <c r="A54" t="inlineStr">
        <is>
          <t>A 34664-2025</t>
        </is>
      </c>
      <c r="B54" s="1" t="n">
        <v>45848.37857638889</v>
      </c>
      <c r="C54" s="1" t="n">
        <v>46031</v>
      </c>
      <c r="D54" t="inlineStr">
        <is>
          <t>NORRBOTTENS LÄN</t>
        </is>
      </c>
      <c r="E54" t="inlineStr">
        <is>
          <t>KIRUNA</t>
        </is>
      </c>
      <c r="G54" t="n">
        <v>8.4</v>
      </c>
      <c r="H54" t="n">
        <v>0</v>
      </c>
      <c r="I54" t="n">
        <v>0</v>
      </c>
      <c r="J54" t="n">
        <v>0</v>
      </c>
      <c r="K54" t="n">
        <v>0</v>
      </c>
      <c r="L54" t="n">
        <v>0</v>
      </c>
      <c r="M54" t="n">
        <v>0</v>
      </c>
      <c r="N54" t="n">
        <v>0</v>
      </c>
      <c r="O54" t="n">
        <v>0</v>
      </c>
      <c r="P54" t="n">
        <v>0</v>
      </c>
      <c r="Q54" t="n">
        <v>0</v>
      </c>
      <c r="R54" s="2" t="inlineStr"/>
    </row>
    <row r="55" ht="15" customHeight="1">
      <c r="A55" t="inlineStr">
        <is>
          <t>A 34663-2025</t>
        </is>
      </c>
      <c r="B55" s="1" t="n">
        <v>45848.37454861111</v>
      </c>
      <c r="C55" s="1" t="n">
        <v>46031</v>
      </c>
      <c r="D55" t="inlineStr">
        <is>
          <t>NORRBOTTENS LÄN</t>
        </is>
      </c>
      <c r="E55" t="inlineStr">
        <is>
          <t>KIRUNA</t>
        </is>
      </c>
      <c r="G55" t="n">
        <v>5.1</v>
      </c>
      <c r="H55" t="n">
        <v>0</v>
      </c>
      <c r="I55" t="n">
        <v>0</v>
      </c>
      <c r="J55" t="n">
        <v>0</v>
      </c>
      <c r="K55" t="n">
        <v>0</v>
      </c>
      <c r="L55" t="n">
        <v>0</v>
      </c>
      <c r="M55" t="n">
        <v>0</v>
      </c>
      <c r="N55" t="n">
        <v>0</v>
      </c>
      <c r="O55" t="n">
        <v>0</v>
      </c>
      <c r="P55" t="n">
        <v>0</v>
      </c>
      <c r="Q55" t="n">
        <v>0</v>
      </c>
      <c r="R55" s="2" t="inlineStr"/>
    </row>
    <row r="56" ht="15" customHeight="1">
      <c r="A56" t="inlineStr">
        <is>
          <t>A 21184-2025</t>
        </is>
      </c>
      <c r="B56" s="1" t="n">
        <v>45777</v>
      </c>
      <c r="C56" s="1" t="n">
        <v>46031</v>
      </c>
      <c r="D56" t="inlineStr">
        <is>
          <t>NORRBOTTENS LÄN</t>
        </is>
      </c>
      <c r="E56" t="inlineStr">
        <is>
          <t>KIRUNA</t>
        </is>
      </c>
      <c r="G56" t="n">
        <v>20.1</v>
      </c>
      <c r="H56" t="n">
        <v>0</v>
      </c>
      <c r="I56" t="n">
        <v>0</v>
      </c>
      <c r="J56" t="n">
        <v>0</v>
      </c>
      <c r="K56" t="n">
        <v>0</v>
      </c>
      <c r="L56" t="n">
        <v>0</v>
      </c>
      <c r="M56" t="n">
        <v>0</v>
      </c>
      <c r="N56" t="n">
        <v>0</v>
      </c>
      <c r="O56" t="n">
        <v>0</v>
      </c>
      <c r="P56" t="n">
        <v>0</v>
      </c>
      <c r="Q56" t="n">
        <v>0</v>
      </c>
      <c r="R56" s="2" t="inlineStr"/>
    </row>
    <row r="57" ht="15" customHeight="1">
      <c r="A57" t="inlineStr">
        <is>
          <t>A 20893-2025</t>
        </is>
      </c>
      <c r="B57" s="1" t="n">
        <v>45776</v>
      </c>
      <c r="C57" s="1" t="n">
        <v>46031</v>
      </c>
      <c r="D57" t="inlineStr">
        <is>
          <t>NORRBOTTENS LÄN</t>
        </is>
      </c>
      <c r="E57" t="inlineStr">
        <is>
          <t>KIRUNA</t>
        </is>
      </c>
      <c r="G57" t="n">
        <v>27.3</v>
      </c>
      <c r="H57" t="n">
        <v>0</v>
      </c>
      <c r="I57" t="n">
        <v>0</v>
      </c>
      <c r="J57" t="n">
        <v>0</v>
      </c>
      <c r="K57" t="n">
        <v>0</v>
      </c>
      <c r="L57" t="n">
        <v>0</v>
      </c>
      <c r="M57" t="n">
        <v>0</v>
      </c>
      <c r="N57" t="n">
        <v>0</v>
      </c>
      <c r="O57" t="n">
        <v>0</v>
      </c>
      <c r="P57" t="n">
        <v>0</v>
      </c>
      <c r="Q57" t="n">
        <v>0</v>
      </c>
      <c r="R57" s="2" t="inlineStr"/>
    </row>
    <row r="58" ht="15" customHeight="1">
      <c r="A58" t="inlineStr">
        <is>
          <t>A 18712-2025</t>
        </is>
      </c>
      <c r="B58" s="1" t="n">
        <v>45763</v>
      </c>
      <c r="C58" s="1" t="n">
        <v>46031</v>
      </c>
      <c r="D58" t="inlineStr">
        <is>
          <t>NORRBOTTENS LÄN</t>
        </is>
      </c>
      <c r="E58" t="inlineStr">
        <is>
          <t>KIRUNA</t>
        </is>
      </c>
      <c r="G58" t="n">
        <v>66.5</v>
      </c>
      <c r="H58" t="n">
        <v>0</v>
      </c>
      <c r="I58" t="n">
        <v>0</v>
      </c>
      <c r="J58" t="n">
        <v>0</v>
      </c>
      <c r="K58" t="n">
        <v>0</v>
      </c>
      <c r="L58" t="n">
        <v>0</v>
      </c>
      <c r="M58" t="n">
        <v>0</v>
      </c>
      <c r="N58" t="n">
        <v>0</v>
      </c>
      <c r="O58" t="n">
        <v>0</v>
      </c>
      <c r="P58" t="n">
        <v>0</v>
      </c>
      <c r="Q58" t="n">
        <v>0</v>
      </c>
      <c r="R58" s="2" t="inlineStr"/>
    </row>
    <row r="59" ht="15" customHeight="1">
      <c r="A59" t="inlineStr">
        <is>
          <t>A 5842-2023</t>
        </is>
      </c>
      <c r="B59" s="1" t="n">
        <v>44958</v>
      </c>
      <c r="C59" s="1" t="n">
        <v>46031</v>
      </c>
      <c r="D59" t="inlineStr">
        <is>
          <t>NORRBOTTENS LÄN</t>
        </is>
      </c>
      <c r="E59" t="inlineStr">
        <is>
          <t>KIRUNA</t>
        </is>
      </c>
      <c r="G59" t="n">
        <v>2.9</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46031</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46031</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46031</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46031</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46031</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46031</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18738-2022</t>
        </is>
      </c>
      <c r="B66" s="1" t="n">
        <v>44687</v>
      </c>
      <c r="C66" s="1" t="n">
        <v>46031</v>
      </c>
      <c r="D66" t="inlineStr">
        <is>
          <t>NORRBOTTENS LÄN</t>
        </is>
      </c>
      <c r="E66" t="inlineStr">
        <is>
          <t>KIRUNA</t>
        </is>
      </c>
      <c r="G66" t="n">
        <v>1.5</v>
      </c>
      <c r="H66" t="n">
        <v>0</v>
      </c>
      <c r="I66" t="n">
        <v>0</v>
      </c>
      <c r="J66" t="n">
        <v>0</v>
      </c>
      <c r="K66" t="n">
        <v>0</v>
      </c>
      <c r="L66" t="n">
        <v>0</v>
      </c>
      <c r="M66" t="n">
        <v>0</v>
      </c>
      <c r="N66" t="n">
        <v>0</v>
      </c>
      <c r="O66" t="n">
        <v>0</v>
      </c>
      <c r="P66" t="n">
        <v>0</v>
      </c>
      <c r="Q66" t="n">
        <v>0</v>
      </c>
      <c r="R66" s="2" t="inlineStr"/>
    </row>
    <row r="67" ht="15" customHeight="1">
      <c r="A67" t="inlineStr">
        <is>
          <t>A 20581-2025</t>
        </is>
      </c>
      <c r="B67" s="1" t="n">
        <v>45775</v>
      </c>
      <c r="C67" s="1" t="n">
        <v>46031</v>
      </c>
      <c r="D67" t="inlineStr">
        <is>
          <t>NORRBOTTENS LÄN</t>
        </is>
      </c>
      <c r="E67" t="inlineStr">
        <is>
          <t>KIRUNA</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28707-2022</t>
        </is>
      </c>
      <c r="B68" s="1" t="n">
        <v>44748</v>
      </c>
      <c r="C68" s="1" t="n">
        <v>46031</v>
      </c>
      <c r="D68" t="inlineStr">
        <is>
          <t>NORRBOTTENS LÄN</t>
        </is>
      </c>
      <c r="E68" t="inlineStr">
        <is>
          <t>KIRUNA</t>
        </is>
      </c>
      <c r="G68" t="n">
        <v>15.2</v>
      </c>
      <c r="H68" t="n">
        <v>0</v>
      </c>
      <c r="I68" t="n">
        <v>0</v>
      </c>
      <c r="J68" t="n">
        <v>0</v>
      </c>
      <c r="K68" t="n">
        <v>0</v>
      </c>
      <c r="L68" t="n">
        <v>0</v>
      </c>
      <c r="M68" t="n">
        <v>0</v>
      </c>
      <c r="N68" t="n">
        <v>0</v>
      </c>
      <c r="O68" t="n">
        <v>0</v>
      </c>
      <c r="P68" t="n">
        <v>0</v>
      </c>
      <c r="Q68" t="n">
        <v>0</v>
      </c>
      <c r="R68" s="2" t="inlineStr"/>
    </row>
    <row r="69" ht="15" customHeight="1">
      <c r="A69" t="inlineStr">
        <is>
          <t>A 39006-2023</t>
        </is>
      </c>
      <c r="B69" s="1" t="n">
        <v>45162</v>
      </c>
      <c r="C69" s="1" t="n">
        <v>46031</v>
      </c>
      <c r="D69" t="inlineStr">
        <is>
          <t>NORRBOTTENS LÄN</t>
        </is>
      </c>
      <c r="E69" t="inlineStr">
        <is>
          <t>KIRUNA</t>
        </is>
      </c>
      <c r="G69" t="n">
        <v>1.6</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46031</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20578-2025</t>
        </is>
      </c>
      <c r="B71" s="1" t="n">
        <v>45775</v>
      </c>
      <c r="C71" s="1" t="n">
        <v>46031</v>
      </c>
      <c r="D71" t="inlineStr">
        <is>
          <t>NORRBOTTENS LÄN</t>
        </is>
      </c>
      <c r="E71" t="inlineStr">
        <is>
          <t>KIRUNA</t>
        </is>
      </c>
      <c r="F71" t="inlineStr">
        <is>
          <t>Sveaskog</t>
        </is>
      </c>
      <c r="G71" t="n">
        <v>12.5</v>
      </c>
      <c r="H71" t="n">
        <v>0</v>
      </c>
      <c r="I71" t="n">
        <v>0</v>
      </c>
      <c r="J71" t="n">
        <v>0</v>
      </c>
      <c r="K71" t="n">
        <v>0</v>
      </c>
      <c r="L71" t="n">
        <v>0</v>
      </c>
      <c r="M71" t="n">
        <v>0</v>
      </c>
      <c r="N71" t="n">
        <v>0</v>
      </c>
      <c r="O71" t="n">
        <v>0</v>
      </c>
      <c r="P71" t="n">
        <v>0</v>
      </c>
      <c r="Q71" t="n">
        <v>0</v>
      </c>
      <c r="R71" s="2" t="inlineStr"/>
    </row>
    <row r="72" ht="15" customHeight="1">
      <c r="A72" t="inlineStr">
        <is>
          <t>A 58860-2022</t>
        </is>
      </c>
      <c r="B72" s="1" t="n">
        <v>44896</v>
      </c>
      <c r="C72" s="1" t="n">
        <v>46031</v>
      </c>
      <c r="D72" t="inlineStr">
        <is>
          <t>NORRBOTTENS LÄN</t>
        </is>
      </c>
      <c r="E72" t="inlineStr">
        <is>
          <t>KIRUNA</t>
        </is>
      </c>
      <c r="G72" t="n">
        <v>0.3</v>
      </c>
      <c r="H72" t="n">
        <v>0</v>
      </c>
      <c r="I72" t="n">
        <v>0</v>
      </c>
      <c r="J72" t="n">
        <v>0</v>
      </c>
      <c r="K72" t="n">
        <v>0</v>
      </c>
      <c r="L72" t="n">
        <v>0</v>
      </c>
      <c r="M72" t="n">
        <v>0</v>
      </c>
      <c r="N72" t="n">
        <v>0</v>
      </c>
      <c r="O72" t="n">
        <v>0</v>
      </c>
      <c r="P72" t="n">
        <v>0</v>
      </c>
      <c r="Q72" t="n">
        <v>0</v>
      </c>
      <c r="R72" s="2" t="inlineStr"/>
    </row>
    <row r="73" ht="15" customHeight="1">
      <c r="A73" t="inlineStr">
        <is>
          <t>A 93-2024</t>
        </is>
      </c>
      <c r="B73" s="1" t="n">
        <v>45293</v>
      </c>
      <c r="C73" s="1" t="n">
        <v>46031</v>
      </c>
      <c r="D73" t="inlineStr">
        <is>
          <t>NORRBOTTENS LÄN</t>
        </is>
      </c>
      <c r="E73" t="inlineStr">
        <is>
          <t>KIRUNA</t>
        </is>
      </c>
      <c r="G73" t="n">
        <v>0.8</v>
      </c>
      <c r="H73" t="n">
        <v>0</v>
      </c>
      <c r="I73" t="n">
        <v>0</v>
      </c>
      <c r="J73" t="n">
        <v>0</v>
      </c>
      <c r="K73" t="n">
        <v>0</v>
      </c>
      <c r="L73" t="n">
        <v>0</v>
      </c>
      <c r="M73" t="n">
        <v>0</v>
      </c>
      <c r="N73" t="n">
        <v>0</v>
      </c>
      <c r="O73" t="n">
        <v>0</v>
      </c>
      <c r="P73" t="n">
        <v>0</v>
      </c>
      <c r="Q73" t="n">
        <v>0</v>
      </c>
      <c r="R73" s="2" t="inlineStr"/>
    </row>
    <row r="74" ht="15" customHeight="1">
      <c r="A74" t="inlineStr">
        <is>
          <t>A 18737-2023</t>
        </is>
      </c>
      <c r="B74" s="1" t="n">
        <v>45042</v>
      </c>
      <c r="C74" s="1" t="n">
        <v>46031</v>
      </c>
      <c r="D74" t="inlineStr">
        <is>
          <t>NORRBOTTENS LÄN</t>
        </is>
      </c>
      <c r="E74" t="inlineStr">
        <is>
          <t>KIRUNA</t>
        </is>
      </c>
      <c r="F74" t="inlineStr">
        <is>
          <t>Sveaskog</t>
        </is>
      </c>
      <c r="G74" t="n">
        <v>10.7</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46031</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5533-2024</t>
        </is>
      </c>
      <c r="B76" s="1" t="n">
        <v>45334</v>
      </c>
      <c r="C76" s="1" t="n">
        <v>46031</v>
      </c>
      <c r="D76" t="inlineStr">
        <is>
          <t>NORRBOTTENS LÄN</t>
        </is>
      </c>
      <c r="E76" t="inlineStr">
        <is>
          <t>KIRUNA</t>
        </is>
      </c>
      <c r="G76" t="n">
        <v>2.4</v>
      </c>
      <c r="H76" t="n">
        <v>0</v>
      </c>
      <c r="I76" t="n">
        <v>0</v>
      </c>
      <c r="J76" t="n">
        <v>0</v>
      </c>
      <c r="K76" t="n">
        <v>0</v>
      </c>
      <c r="L76" t="n">
        <v>0</v>
      </c>
      <c r="M76" t="n">
        <v>0</v>
      </c>
      <c r="N76" t="n">
        <v>0</v>
      </c>
      <c r="O76" t="n">
        <v>0</v>
      </c>
      <c r="P76" t="n">
        <v>0</v>
      </c>
      <c r="Q76" t="n">
        <v>0</v>
      </c>
      <c r="R76" s="2" t="inlineStr"/>
    </row>
    <row r="77" ht="15" customHeight="1">
      <c r="A77" t="inlineStr">
        <is>
          <t>A 56168-2023</t>
        </is>
      </c>
      <c r="B77" s="1" t="n">
        <v>45236</v>
      </c>
      <c r="C77" s="1" t="n">
        <v>46031</v>
      </c>
      <c r="D77" t="inlineStr">
        <is>
          <t>NORRBOTTENS LÄN</t>
        </is>
      </c>
      <c r="E77" t="inlineStr">
        <is>
          <t>KIRUNA</t>
        </is>
      </c>
      <c r="F77" t="inlineStr">
        <is>
          <t>Sveaskog</t>
        </is>
      </c>
      <c r="G77" t="n">
        <v>6.6</v>
      </c>
      <c r="H77" t="n">
        <v>0</v>
      </c>
      <c r="I77" t="n">
        <v>0</v>
      </c>
      <c r="J77" t="n">
        <v>0</v>
      </c>
      <c r="K77" t="n">
        <v>0</v>
      </c>
      <c r="L77" t="n">
        <v>0</v>
      </c>
      <c r="M77" t="n">
        <v>0</v>
      </c>
      <c r="N77" t="n">
        <v>0</v>
      </c>
      <c r="O77" t="n">
        <v>0</v>
      </c>
      <c r="P77" t="n">
        <v>0</v>
      </c>
      <c r="Q77" t="n">
        <v>0</v>
      </c>
      <c r="R77" s="2" t="inlineStr"/>
    </row>
    <row r="78" ht="15" customHeight="1">
      <c r="A78" t="inlineStr">
        <is>
          <t>A 8350-2025</t>
        </is>
      </c>
      <c r="B78" s="1" t="n">
        <v>45708</v>
      </c>
      <c r="C78" s="1" t="n">
        <v>46031</v>
      </c>
      <c r="D78" t="inlineStr">
        <is>
          <t>NORRBOTTENS LÄN</t>
        </is>
      </c>
      <c r="E78" t="inlineStr">
        <is>
          <t>KIRUNA</t>
        </is>
      </c>
      <c r="F78" t="inlineStr">
        <is>
          <t>Övriga statliga verk och myndigheter</t>
        </is>
      </c>
      <c r="G78" t="n">
        <v>0.8</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46031</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46031</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c r="A81" t="inlineStr">
        <is>
          <t>A 20770-2025</t>
        </is>
      </c>
      <c r="B81" s="1" t="n">
        <v>45776</v>
      </c>
      <c r="C81" s="1" t="n">
        <v>46031</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2026-01-09T10:53:28Z</dcterms:created>
  <dcterms:modified xmlns:dcterms="http://purl.org/dc/terms/" xmlns:xsi="http://www.w3.org/2001/XMLSchema-instance" xsi:type="dcterms:W3CDTF">2026-01-09T10:53:28Z</dcterms:modified>
</cp:coreProperties>
</file>