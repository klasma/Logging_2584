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46193</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46193</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46193</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46193</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46193</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46193</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46193</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53309-2023</t>
        </is>
      </c>
      <c r="B9" s="1" t="n">
        <v>45229</v>
      </c>
      <c r="C9" s="1" t="n">
        <v>46193</v>
      </c>
      <c r="D9" t="inlineStr">
        <is>
          <t>NORRBOTTENS LÄN</t>
        </is>
      </c>
      <c r="E9" t="inlineStr">
        <is>
          <t>KIRUNA</t>
        </is>
      </c>
      <c r="G9" t="n">
        <v>1.6</v>
      </c>
      <c r="H9" t="n">
        <v>3</v>
      </c>
      <c r="I9" t="n">
        <v>0</v>
      </c>
      <c r="J9" t="n">
        <v>0</v>
      </c>
      <c r="K9" t="n">
        <v>0</v>
      </c>
      <c r="L9" t="n">
        <v>0</v>
      </c>
      <c r="M9" t="n">
        <v>0</v>
      </c>
      <c r="N9" t="n">
        <v>0</v>
      </c>
      <c r="O9" t="n">
        <v>0</v>
      </c>
      <c r="P9" t="n">
        <v>0</v>
      </c>
      <c r="Q9" t="n">
        <v>3</v>
      </c>
      <c r="R9" s="2" t="inlineStr">
        <is>
          <t>Fiskgjuse
Grönsiska
Havsörn</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22495-2024</t>
        </is>
      </c>
      <c r="B10" s="1" t="n">
        <v>45447</v>
      </c>
      <c r="C10" s="1" t="n">
        <v>46193</v>
      </c>
      <c r="D10" t="inlineStr">
        <is>
          <t>NORRBOTTENS LÄN</t>
        </is>
      </c>
      <c r="E10" t="inlineStr">
        <is>
          <t>KIRUNA</t>
        </is>
      </c>
      <c r="G10" t="n">
        <v>7.1</v>
      </c>
      <c r="H10" t="n">
        <v>2</v>
      </c>
      <c r="I10" t="n">
        <v>0</v>
      </c>
      <c r="J10" t="n">
        <v>2</v>
      </c>
      <c r="K10" t="n">
        <v>1</v>
      </c>
      <c r="L10" t="n">
        <v>0</v>
      </c>
      <c r="M10" t="n">
        <v>0</v>
      </c>
      <c r="N10" t="n">
        <v>0</v>
      </c>
      <c r="O10" t="n">
        <v>3</v>
      </c>
      <c r="P10" t="n">
        <v>1</v>
      </c>
      <c r="Q10" t="n">
        <v>3</v>
      </c>
      <c r="R10" s="2" t="inlineStr">
        <is>
          <t>Tajgafältmätare
Blåhake
Lavskrika</t>
        </is>
      </c>
      <c r="S10">
        <f>HYPERLINK("https://klasma.github.io/Logging_2584/artfynd/A 22495-2024 artfynd.xlsx", "A 22495-2024")</f>
        <v/>
      </c>
      <c r="T10">
        <f>HYPERLINK("https://klasma.github.io/Logging_2584/kartor/A 22495-2024 karta.png", "A 22495-2024")</f>
        <v/>
      </c>
      <c r="V10">
        <f>HYPERLINK("https://klasma.github.io/Logging_2584/klagomål/A 22495-2024 FSC-klagomål.docx", "A 22495-2024")</f>
        <v/>
      </c>
      <c r="W10">
        <f>HYPERLINK("https://klasma.github.io/Logging_2584/klagomålsmail/A 22495-2024 FSC-klagomål mail.docx", "A 22495-2024")</f>
        <v/>
      </c>
      <c r="X10">
        <f>HYPERLINK("https://klasma.github.io/Logging_2584/tillsyn/A 22495-2024 tillsynsbegäran.docx", "A 22495-2024")</f>
        <v/>
      </c>
      <c r="Y10">
        <f>HYPERLINK("https://klasma.github.io/Logging_2584/tillsynsmail/A 22495-2024 tillsynsbegäran mail.docx", "A 22495-2024")</f>
        <v/>
      </c>
      <c r="Z10">
        <f>HYPERLINK("https://klasma.github.io/Logging_2584/fåglar/A 22495-2024 prioriterade fågelarter.docx", "A 22495-2024")</f>
        <v/>
      </c>
    </row>
    <row r="11" ht="15" customHeight="1">
      <c r="A11" t="inlineStr">
        <is>
          <t>A 20780-2025</t>
        </is>
      </c>
      <c r="B11" s="1" t="n">
        <v>45776</v>
      </c>
      <c r="C11" s="1" t="n">
        <v>46193</v>
      </c>
      <c r="D11" t="inlineStr">
        <is>
          <t>NORRBOTTENS LÄN</t>
        </is>
      </c>
      <c r="E11" t="inlineStr">
        <is>
          <t>KIRUNA</t>
        </is>
      </c>
      <c r="F11" t="inlineStr">
        <is>
          <t>Sveaskog</t>
        </is>
      </c>
      <c r="G11" t="n">
        <v>5.7</v>
      </c>
      <c r="H11" t="n">
        <v>1</v>
      </c>
      <c r="I11" t="n">
        <v>2</v>
      </c>
      <c r="J11" t="n">
        <v>0</v>
      </c>
      <c r="K11" t="n">
        <v>1</v>
      </c>
      <c r="L11" t="n">
        <v>0</v>
      </c>
      <c r="M11" t="n">
        <v>0</v>
      </c>
      <c r="N11" t="n">
        <v>0</v>
      </c>
      <c r="O11" t="n">
        <v>1</v>
      </c>
      <c r="P11" t="n">
        <v>1</v>
      </c>
      <c r="Q11" t="n">
        <v>3</v>
      </c>
      <c r="R11" s="2" t="inlineStr">
        <is>
          <t>Garnlav
Lappranunkel
Stuplav</t>
        </is>
      </c>
      <c r="S11">
        <f>HYPERLINK("https://klasma.github.io/Logging_2584/artfynd/A 20780-2025 artfynd.xlsx", "A 20780-2025")</f>
        <v/>
      </c>
      <c r="T11">
        <f>HYPERLINK("https://klasma.github.io/Logging_2584/kartor/A 20780-2025 karta.png", "A 20780-2025")</f>
        <v/>
      </c>
      <c r="V11">
        <f>HYPERLINK("https://klasma.github.io/Logging_2584/klagomål/A 20780-2025 FSC-klagomål.docx", "A 20780-2025")</f>
        <v/>
      </c>
      <c r="W11">
        <f>HYPERLINK("https://klasma.github.io/Logging_2584/klagomålsmail/A 20780-2025 FSC-klagomål mail.docx", "A 20780-2025")</f>
        <v/>
      </c>
      <c r="X11">
        <f>HYPERLINK("https://klasma.github.io/Logging_2584/tillsyn/A 20780-2025 tillsynsbegäran.docx", "A 20780-2025")</f>
        <v/>
      </c>
      <c r="Y11">
        <f>HYPERLINK("https://klasma.github.io/Logging_2584/tillsynsmail/A 20780-2025 tillsynsbegäran mail.docx", "A 20780-2025")</f>
        <v/>
      </c>
    </row>
    <row r="12" ht="15" customHeight="1">
      <c r="A12" t="inlineStr">
        <is>
          <t>A 21183-2025</t>
        </is>
      </c>
      <c r="B12" s="1" t="n">
        <v>45779</v>
      </c>
      <c r="C12" s="1" t="n">
        <v>46193</v>
      </c>
      <c r="D12" t="inlineStr">
        <is>
          <t>NORRBOTTENS LÄN</t>
        </is>
      </c>
      <c r="E12" t="inlineStr">
        <is>
          <t>KIRUNA</t>
        </is>
      </c>
      <c r="G12" t="n">
        <v>31.9</v>
      </c>
      <c r="H12" t="n">
        <v>2</v>
      </c>
      <c r="I12" t="n">
        <v>1</v>
      </c>
      <c r="J12" t="n">
        <v>2</v>
      </c>
      <c r="K12" t="n">
        <v>0</v>
      </c>
      <c r="L12" t="n">
        <v>0</v>
      </c>
      <c r="M12" t="n">
        <v>0</v>
      </c>
      <c r="N12" t="n">
        <v>0</v>
      </c>
      <c r="O12" t="n">
        <v>2</v>
      </c>
      <c r="P12" t="n">
        <v>0</v>
      </c>
      <c r="Q12" t="n">
        <v>3</v>
      </c>
      <c r="R12" s="2" t="inlineStr">
        <is>
          <t>Lappmes
Venhavre
Kärrtrumpetmossa</t>
        </is>
      </c>
      <c r="S12">
        <f>HYPERLINK("https://klasma.github.io/Logging_2584/artfynd/A 21183-2025 artfynd.xlsx", "A 21183-2025")</f>
        <v/>
      </c>
      <c r="T12">
        <f>HYPERLINK("https://klasma.github.io/Logging_2584/kartor/A 21183-2025 karta.png", "A 21183-2025")</f>
        <v/>
      </c>
      <c r="V12">
        <f>HYPERLINK("https://klasma.github.io/Logging_2584/klagomål/A 21183-2025 FSC-klagomål.docx", "A 21183-2025")</f>
        <v/>
      </c>
      <c r="W12">
        <f>HYPERLINK("https://klasma.github.io/Logging_2584/klagomålsmail/A 21183-2025 FSC-klagomål mail.docx", "A 21183-2025")</f>
        <v/>
      </c>
      <c r="X12">
        <f>HYPERLINK("https://klasma.github.io/Logging_2584/tillsyn/A 21183-2025 tillsynsbegäran.docx", "A 21183-2025")</f>
        <v/>
      </c>
      <c r="Y12">
        <f>HYPERLINK("https://klasma.github.io/Logging_2584/tillsynsmail/A 21183-2025 tillsynsbegäran mail.docx", "A 21183-2025")</f>
        <v/>
      </c>
      <c r="Z12">
        <f>HYPERLINK("https://klasma.github.io/Logging_2584/fåglar/A 21183-2025 prioriterade fågelarter.docx", "A 21183-2025")</f>
        <v/>
      </c>
    </row>
    <row r="13" ht="15" customHeight="1">
      <c r="A13" t="inlineStr">
        <is>
          <t>A 53264-2023</t>
        </is>
      </c>
      <c r="B13" s="1" t="n">
        <v>45222</v>
      </c>
      <c r="C13" s="1" t="n">
        <v>46193</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53264-2023</t>
        </is>
      </c>
      <c r="B14" s="1" t="n">
        <v>45222</v>
      </c>
      <c r="C14" s="1" t="n">
        <v>46193</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17740-2023</t>
        </is>
      </c>
      <c r="B15" s="1" t="n">
        <v>45035</v>
      </c>
      <c r="C15" s="1" t="n">
        <v>46193</v>
      </c>
      <c r="D15" t="inlineStr">
        <is>
          <t>NORRBOTTENS LÄN</t>
        </is>
      </c>
      <c r="E15" t="inlineStr">
        <is>
          <t>KIRUNA</t>
        </is>
      </c>
      <c r="F15" t="inlineStr">
        <is>
          <t>Allmännings- och besparingsskogar</t>
        </is>
      </c>
      <c r="G15" t="n">
        <v>20.1</v>
      </c>
      <c r="H15" t="n">
        <v>1</v>
      </c>
      <c r="I15" t="n">
        <v>0</v>
      </c>
      <c r="J15" t="n">
        <v>1</v>
      </c>
      <c r="K15" t="n">
        <v>0</v>
      </c>
      <c r="L15" t="n">
        <v>0</v>
      </c>
      <c r="M15" t="n">
        <v>0</v>
      </c>
      <c r="N15" t="n">
        <v>0</v>
      </c>
      <c r="O15" t="n">
        <v>1</v>
      </c>
      <c r="P15" t="n">
        <v>0</v>
      </c>
      <c r="Q15" t="n">
        <v>2</v>
      </c>
      <c r="R15" s="2" t="inlineStr">
        <is>
          <t>Knottrig blåslav
Svartvit flugsnappare</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c r="Z15">
        <f>HYPERLINK("https://klasma.github.io/Logging_2584/fåglar/A 17740-2023 prioriterade fågelarter.docx", "A 17740-2023")</f>
        <v/>
      </c>
    </row>
    <row r="16" ht="15" customHeight="1">
      <c r="A16" t="inlineStr">
        <is>
          <t>A 58860-2022</t>
        </is>
      </c>
      <c r="B16" s="1" t="n">
        <v>44896</v>
      </c>
      <c r="C16" s="1" t="n">
        <v>46193</v>
      </c>
      <c r="D16" t="inlineStr">
        <is>
          <t>NORRBOTTENS LÄN</t>
        </is>
      </c>
      <c r="E16" t="inlineStr">
        <is>
          <t>KIRUNA</t>
        </is>
      </c>
      <c r="G16" t="n">
        <v>0.3</v>
      </c>
      <c r="H16" t="n">
        <v>2</v>
      </c>
      <c r="I16" t="n">
        <v>0</v>
      </c>
      <c r="J16" t="n">
        <v>0</v>
      </c>
      <c r="K16" t="n">
        <v>0</v>
      </c>
      <c r="L16" t="n">
        <v>1</v>
      </c>
      <c r="M16" t="n">
        <v>0</v>
      </c>
      <c r="N16" t="n">
        <v>0</v>
      </c>
      <c r="O16" t="n">
        <v>1</v>
      </c>
      <c r="P16" t="n">
        <v>1</v>
      </c>
      <c r="Q16" t="n">
        <v>2</v>
      </c>
      <c r="R16" s="2" t="inlineStr">
        <is>
          <t>Brun glada
Salskrake</t>
        </is>
      </c>
      <c r="S16">
        <f>HYPERLINK("https://klasma.github.io/Logging_2584/artfynd/A 58860-2022 artfynd.xlsx", "A 58860-2022")</f>
        <v/>
      </c>
      <c r="T16">
        <f>HYPERLINK("https://klasma.github.io/Logging_2584/kartor/A 58860-2022 karta.png", "A 58860-2022")</f>
        <v/>
      </c>
      <c r="V16">
        <f>HYPERLINK("https://klasma.github.io/Logging_2584/klagomål/A 58860-2022 FSC-klagomål.docx", "A 58860-2022")</f>
        <v/>
      </c>
      <c r="W16">
        <f>HYPERLINK("https://klasma.github.io/Logging_2584/klagomålsmail/A 58860-2022 FSC-klagomål mail.docx", "A 58860-2022")</f>
        <v/>
      </c>
      <c r="X16">
        <f>HYPERLINK("https://klasma.github.io/Logging_2584/tillsyn/A 58860-2022 tillsynsbegäran.docx", "A 58860-2022")</f>
        <v/>
      </c>
      <c r="Y16">
        <f>HYPERLINK("https://klasma.github.io/Logging_2584/tillsynsmail/A 58860-2022 tillsynsbegäran mail.docx", "A 58860-2022")</f>
        <v/>
      </c>
      <c r="Z16">
        <f>HYPERLINK("https://klasma.github.io/Logging_2584/fåglar/A 58860-2022 prioriterade fågelarter.docx", "A 58860-2022")</f>
        <v/>
      </c>
    </row>
    <row r="17" ht="15" customHeight="1">
      <c r="A17" t="inlineStr">
        <is>
          <t>A 45810-2022</t>
        </is>
      </c>
      <c r="B17" s="1" t="n">
        <v>44844</v>
      </c>
      <c r="C17" s="1" t="n">
        <v>46193</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46193</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46193</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5842-2023</t>
        </is>
      </c>
      <c r="B20" s="1" t="n">
        <v>44958</v>
      </c>
      <c r="C20" s="1" t="n">
        <v>46193</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4367-2024</t>
        </is>
      </c>
      <c r="B21" s="1" t="n">
        <v>45326</v>
      </c>
      <c r="C21" s="1" t="n">
        <v>46193</v>
      </c>
      <c r="D21" t="inlineStr">
        <is>
          <t>NORRBOTTENS LÄN</t>
        </is>
      </c>
      <c r="E21" t="inlineStr">
        <is>
          <t>KIRUNA</t>
        </is>
      </c>
      <c r="G21" t="n">
        <v>7.5</v>
      </c>
      <c r="H21" t="n">
        <v>0</v>
      </c>
      <c r="I21" t="n">
        <v>0</v>
      </c>
      <c r="J21" t="n">
        <v>1</v>
      </c>
      <c r="K21" t="n">
        <v>0</v>
      </c>
      <c r="L21" t="n">
        <v>0</v>
      </c>
      <c r="M21" t="n">
        <v>0</v>
      </c>
      <c r="N21" t="n">
        <v>0</v>
      </c>
      <c r="O21" t="n">
        <v>1</v>
      </c>
      <c r="P21" t="n">
        <v>0</v>
      </c>
      <c r="Q21" t="n">
        <v>1</v>
      </c>
      <c r="R21" s="2" t="inlineStr">
        <is>
          <t>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16024-2024</t>
        </is>
      </c>
      <c r="B22" s="1" t="n">
        <v>45405</v>
      </c>
      <c r="C22" s="1" t="n">
        <v>46193</v>
      </c>
      <c r="D22" t="inlineStr">
        <is>
          <t>NORRBOTTENS LÄN</t>
        </is>
      </c>
      <c r="E22" t="inlineStr">
        <is>
          <t>KIRUNA</t>
        </is>
      </c>
      <c r="G22" t="n">
        <v>2.3</v>
      </c>
      <c r="H22" t="n">
        <v>0</v>
      </c>
      <c r="I22" t="n">
        <v>0</v>
      </c>
      <c r="J22" t="n">
        <v>1</v>
      </c>
      <c r="K22" t="n">
        <v>0</v>
      </c>
      <c r="L22" t="n">
        <v>0</v>
      </c>
      <c r="M22" t="n">
        <v>0</v>
      </c>
      <c r="N22" t="n">
        <v>0</v>
      </c>
      <c r="O22" t="n">
        <v>1</v>
      </c>
      <c r="P22" t="n">
        <v>0</v>
      </c>
      <c r="Q22" t="n">
        <v>1</v>
      </c>
      <c r="R22" s="2" t="inlineStr">
        <is>
          <t>Vedskivlav</t>
        </is>
      </c>
      <c r="S22">
        <f>HYPERLINK("https://klasma.github.io/Logging_2584/artfynd/A 16024-2024 artfynd.xlsx", "A 16024-2024")</f>
        <v/>
      </c>
      <c r="T22">
        <f>HYPERLINK("https://klasma.github.io/Logging_2584/kartor/A 16024-2024 karta.png", "A 16024-2024")</f>
        <v/>
      </c>
      <c r="V22">
        <f>HYPERLINK("https://klasma.github.io/Logging_2584/klagomål/A 16024-2024 FSC-klagomål.docx", "A 16024-2024")</f>
        <v/>
      </c>
      <c r="W22">
        <f>HYPERLINK("https://klasma.github.io/Logging_2584/klagomålsmail/A 16024-2024 FSC-klagomål mail.docx", "A 16024-2024")</f>
        <v/>
      </c>
      <c r="X22">
        <f>HYPERLINK("https://klasma.github.io/Logging_2584/tillsyn/A 16024-2024 tillsynsbegäran.docx", "A 16024-2024")</f>
        <v/>
      </c>
      <c r="Y22">
        <f>HYPERLINK("https://klasma.github.io/Logging_2584/tillsynsmail/A 16024-2024 tillsynsbegäran mail.docx", "A 16024-2024")</f>
        <v/>
      </c>
    </row>
    <row r="23" ht="15" customHeight="1">
      <c r="A23" t="inlineStr">
        <is>
          <t>A 2660-2026</t>
        </is>
      </c>
      <c r="B23" s="1" t="n">
        <v>46037</v>
      </c>
      <c r="C23" s="1" t="n">
        <v>46193</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46193</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46193</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46193</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46193</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46193</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46193</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46193</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18737-2023</t>
        </is>
      </c>
      <c r="B31" s="1" t="n">
        <v>45042</v>
      </c>
      <c r="C31" s="1" t="n">
        <v>46193</v>
      </c>
      <c r="D31" t="inlineStr">
        <is>
          <t>NORRBOTTENS LÄN</t>
        </is>
      </c>
      <c r="E31" t="inlineStr">
        <is>
          <t>KIRUNA</t>
        </is>
      </c>
      <c r="F31" t="inlineStr">
        <is>
          <t>Sveaskog</t>
        </is>
      </c>
      <c r="G31" t="n">
        <v>10.7</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46193</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46193</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46193</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46193</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46193</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v>
      </c>
      <c r="C37" s="1" t="n">
        <v>46193</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46193</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18721-2024</t>
        </is>
      </c>
      <c r="B39" s="1" t="n">
        <v>45426</v>
      </c>
      <c r="C39" s="1" t="n">
        <v>46193</v>
      </c>
      <c r="D39" t="inlineStr">
        <is>
          <t>NORRBOTTENS LÄN</t>
        </is>
      </c>
      <c r="E39" t="inlineStr">
        <is>
          <t>KIRUNA</t>
        </is>
      </c>
      <c r="G39" t="n">
        <v>62.1</v>
      </c>
      <c r="H39" t="n">
        <v>0</v>
      </c>
      <c r="I39" t="n">
        <v>0</v>
      </c>
      <c r="J39" t="n">
        <v>0</v>
      </c>
      <c r="K39" t="n">
        <v>0</v>
      </c>
      <c r="L39" t="n">
        <v>0</v>
      </c>
      <c r="M39" t="n">
        <v>0</v>
      </c>
      <c r="N39" t="n">
        <v>0</v>
      </c>
      <c r="O39" t="n">
        <v>0</v>
      </c>
      <c r="P39" t="n">
        <v>0</v>
      </c>
      <c r="Q39" t="n">
        <v>0</v>
      </c>
      <c r="R39" s="2" t="inlineStr"/>
    </row>
    <row r="40" ht="15" customHeight="1">
      <c r="A40" t="inlineStr">
        <is>
          <t>A 9068-2023</t>
        </is>
      </c>
      <c r="B40" s="1" t="n">
        <v>44979</v>
      </c>
      <c r="C40" s="1" t="n">
        <v>46193</v>
      </c>
      <c r="D40" t="inlineStr">
        <is>
          <t>NORRBOTTENS LÄN</t>
        </is>
      </c>
      <c r="E40" t="inlineStr">
        <is>
          <t>KIRUNA</t>
        </is>
      </c>
      <c r="F40" t="inlineStr">
        <is>
          <t>SCA</t>
        </is>
      </c>
      <c r="G40" t="n">
        <v>4.6</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46193</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46193</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8350-2025</t>
        </is>
      </c>
      <c r="B43" s="1" t="n">
        <v>45708</v>
      </c>
      <c r="C43" s="1" t="n">
        <v>46193</v>
      </c>
      <c r="D43" t="inlineStr">
        <is>
          <t>NORRBOTTENS LÄN</t>
        </is>
      </c>
      <c r="E43" t="inlineStr">
        <is>
          <t>KIRUNA</t>
        </is>
      </c>
      <c r="F43" t="inlineStr">
        <is>
          <t>Övriga statliga verk och myndigheter</t>
        </is>
      </c>
      <c r="G43" t="n">
        <v>0.8</v>
      </c>
      <c r="H43" t="n">
        <v>0</v>
      </c>
      <c r="I43" t="n">
        <v>0</v>
      </c>
      <c r="J43" t="n">
        <v>0</v>
      </c>
      <c r="K43" t="n">
        <v>0</v>
      </c>
      <c r="L43" t="n">
        <v>0</v>
      </c>
      <c r="M43" t="n">
        <v>0</v>
      </c>
      <c r="N43" t="n">
        <v>0</v>
      </c>
      <c r="O43" t="n">
        <v>0</v>
      </c>
      <c r="P43" t="n">
        <v>0</v>
      </c>
      <c r="Q43" t="n">
        <v>0</v>
      </c>
      <c r="R43" s="2" t="inlineStr"/>
    </row>
    <row r="44" ht="15" customHeight="1">
      <c r="A44" t="inlineStr">
        <is>
          <t>A 18698-2025</t>
        </is>
      </c>
      <c r="B44" s="1" t="n">
        <v>45763</v>
      </c>
      <c r="C44" s="1" t="n">
        <v>46193</v>
      </c>
      <c r="D44" t="inlineStr">
        <is>
          <t>NORRBOTTENS LÄN</t>
        </is>
      </c>
      <c r="E44" t="inlineStr">
        <is>
          <t>KIRUNA</t>
        </is>
      </c>
      <c r="G44" t="n">
        <v>29.7</v>
      </c>
      <c r="H44" t="n">
        <v>0</v>
      </c>
      <c r="I44" t="n">
        <v>0</v>
      </c>
      <c r="J44" t="n">
        <v>0</v>
      </c>
      <c r="K44" t="n">
        <v>0</v>
      </c>
      <c r="L44" t="n">
        <v>0</v>
      </c>
      <c r="M44" t="n">
        <v>0</v>
      </c>
      <c r="N44" t="n">
        <v>0</v>
      </c>
      <c r="O44" t="n">
        <v>0</v>
      </c>
      <c r="P44" t="n">
        <v>0</v>
      </c>
      <c r="Q44" t="n">
        <v>0</v>
      </c>
      <c r="R44" s="2" t="inlineStr"/>
    </row>
    <row r="45" ht="15" customHeight="1">
      <c r="A45" t="inlineStr">
        <is>
          <t>A 21112-2025</t>
        </is>
      </c>
      <c r="B45" s="1" t="n">
        <v>45777</v>
      </c>
      <c r="C45" s="1" t="n">
        <v>46193</v>
      </c>
      <c r="D45" t="inlineStr">
        <is>
          <t>NORRBOTTENS LÄN</t>
        </is>
      </c>
      <c r="E45" t="inlineStr">
        <is>
          <t>KIRUNA</t>
        </is>
      </c>
      <c r="G45" t="n">
        <v>7.2</v>
      </c>
      <c r="H45" t="n">
        <v>0</v>
      </c>
      <c r="I45" t="n">
        <v>0</v>
      </c>
      <c r="J45" t="n">
        <v>0</v>
      </c>
      <c r="K45" t="n">
        <v>0</v>
      </c>
      <c r="L45" t="n">
        <v>0</v>
      </c>
      <c r="M45" t="n">
        <v>0</v>
      </c>
      <c r="N45" t="n">
        <v>0</v>
      </c>
      <c r="O45" t="n">
        <v>0</v>
      </c>
      <c r="P45" t="n">
        <v>0</v>
      </c>
      <c r="Q45" t="n">
        <v>0</v>
      </c>
      <c r="R45" s="2" t="inlineStr"/>
    </row>
    <row r="46" ht="15" customHeight="1">
      <c r="A46" t="inlineStr">
        <is>
          <t>A 23469-2022</t>
        </is>
      </c>
      <c r="B46" s="1" t="n">
        <v>44721</v>
      </c>
      <c r="C46" s="1" t="n">
        <v>46193</v>
      </c>
      <c r="D46" t="inlineStr">
        <is>
          <t>NORRBOTTENS LÄN</t>
        </is>
      </c>
      <c r="E46" t="inlineStr">
        <is>
          <t>KIRUNA</t>
        </is>
      </c>
      <c r="G46" t="n">
        <v>11.8</v>
      </c>
      <c r="H46" t="n">
        <v>0</v>
      </c>
      <c r="I46" t="n">
        <v>0</v>
      </c>
      <c r="J46" t="n">
        <v>0</v>
      </c>
      <c r="K46" t="n">
        <v>0</v>
      </c>
      <c r="L46" t="n">
        <v>0</v>
      </c>
      <c r="M46" t="n">
        <v>0</v>
      </c>
      <c r="N46" t="n">
        <v>0</v>
      </c>
      <c r="O46" t="n">
        <v>0</v>
      </c>
      <c r="P46" t="n">
        <v>0</v>
      </c>
      <c r="Q46" t="n">
        <v>0</v>
      </c>
      <c r="R46" s="2" t="inlineStr"/>
    </row>
    <row r="47" ht="15" customHeight="1">
      <c r="A47" t="inlineStr">
        <is>
          <t>A 62452-2022</t>
        </is>
      </c>
      <c r="B47" s="1" t="n">
        <v>44916</v>
      </c>
      <c r="C47" s="1" t="n">
        <v>46193</v>
      </c>
      <c r="D47" t="inlineStr">
        <is>
          <t>NORRBOTTENS LÄN</t>
        </is>
      </c>
      <c r="E47" t="inlineStr">
        <is>
          <t>KIRUNA</t>
        </is>
      </c>
      <c r="G47" t="n">
        <v>7.2</v>
      </c>
      <c r="H47" t="n">
        <v>0</v>
      </c>
      <c r="I47" t="n">
        <v>0</v>
      </c>
      <c r="J47" t="n">
        <v>0</v>
      </c>
      <c r="K47" t="n">
        <v>0</v>
      </c>
      <c r="L47" t="n">
        <v>0</v>
      </c>
      <c r="M47" t="n">
        <v>0</v>
      </c>
      <c r="N47" t="n">
        <v>0</v>
      </c>
      <c r="O47" t="n">
        <v>0</v>
      </c>
      <c r="P47" t="n">
        <v>0</v>
      </c>
      <c r="Q47" t="n">
        <v>0</v>
      </c>
      <c r="R47" s="2" t="inlineStr"/>
    </row>
    <row r="48" ht="15" customHeight="1">
      <c r="A48" t="inlineStr">
        <is>
          <t>A 41127-2023</t>
        </is>
      </c>
      <c r="B48" s="1" t="n">
        <v>45173</v>
      </c>
      <c r="C48" s="1" t="n">
        <v>46193</v>
      </c>
      <c r="D48" t="inlineStr">
        <is>
          <t>NORRBOTTENS LÄN</t>
        </is>
      </c>
      <c r="E48" t="inlineStr">
        <is>
          <t>KIRUNA</t>
        </is>
      </c>
      <c r="F48" t="inlineStr">
        <is>
          <t>SCA</t>
        </is>
      </c>
      <c r="G48" t="n">
        <v>1.3</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46193</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46193</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46193</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46193</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20770-2025</t>
        </is>
      </c>
      <c r="B53" s="1" t="n">
        <v>45776</v>
      </c>
      <c r="C53" s="1" t="n">
        <v>46193</v>
      </c>
      <c r="D53" t="inlineStr">
        <is>
          <t>NORRBOTTENS LÄN</t>
        </is>
      </c>
      <c r="E53" t="inlineStr">
        <is>
          <t>KIRUNA</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50338-2025</t>
        </is>
      </c>
      <c r="B54" s="1" t="n">
        <v>45944</v>
      </c>
      <c r="C54" s="1" t="n">
        <v>46193</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50590-2023</t>
        </is>
      </c>
      <c r="B55" s="1" t="n">
        <v>45217</v>
      </c>
      <c r="C55" s="1" t="n">
        <v>46193</v>
      </c>
      <c r="D55" t="inlineStr">
        <is>
          <t>NORRBOTTENS LÄN</t>
        </is>
      </c>
      <c r="E55" t="inlineStr">
        <is>
          <t>KIRUNA</t>
        </is>
      </c>
      <c r="G55" t="n">
        <v>1.3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46193</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21184-2025</t>
        </is>
      </c>
      <c r="B57" s="1" t="n">
        <v>45777</v>
      </c>
      <c r="C57" s="1" t="n">
        <v>46193</v>
      </c>
      <c r="D57" t="inlineStr">
        <is>
          <t>NORRBOTTENS LÄN</t>
        </is>
      </c>
      <c r="E57" t="inlineStr">
        <is>
          <t>KIRUNA</t>
        </is>
      </c>
      <c r="G57" t="n">
        <v>20.1</v>
      </c>
      <c r="H57" t="n">
        <v>0</v>
      </c>
      <c r="I57" t="n">
        <v>0</v>
      </c>
      <c r="J57" t="n">
        <v>0</v>
      </c>
      <c r="K57" t="n">
        <v>0</v>
      </c>
      <c r="L57" t="n">
        <v>0</v>
      </c>
      <c r="M57" t="n">
        <v>0</v>
      </c>
      <c r="N57" t="n">
        <v>0</v>
      </c>
      <c r="O57" t="n">
        <v>0</v>
      </c>
      <c r="P57" t="n">
        <v>0</v>
      </c>
      <c r="Q57" t="n">
        <v>0</v>
      </c>
      <c r="R57" s="2" t="inlineStr"/>
    </row>
    <row r="58" ht="15" customHeight="1">
      <c r="A58" t="inlineStr">
        <is>
          <t>A 20893-2025</t>
        </is>
      </c>
      <c r="B58" s="1" t="n">
        <v>45776</v>
      </c>
      <c r="C58" s="1" t="n">
        <v>46193</v>
      </c>
      <c r="D58" t="inlineStr">
        <is>
          <t>NORRBOTTENS LÄN</t>
        </is>
      </c>
      <c r="E58" t="inlineStr">
        <is>
          <t>KIRUNA</t>
        </is>
      </c>
      <c r="G58" t="n">
        <v>27.3</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46193</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46193</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46193</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33183-2025</t>
        </is>
      </c>
      <c r="B62" s="1" t="n">
        <v>45840</v>
      </c>
      <c r="C62" s="1" t="n">
        <v>46193</v>
      </c>
      <c r="D62" t="inlineStr">
        <is>
          <t>NORRBOTTENS LÄN</t>
        </is>
      </c>
      <c r="E62" t="inlineStr">
        <is>
          <t>KIRUNA</t>
        </is>
      </c>
      <c r="G62" t="n">
        <v>2.8</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46193</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34664-2025</t>
        </is>
      </c>
      <c r="B64" s="1" t="n">
        <v>45848</v>
      </c>
      <c r="C64" s="1" t="n">
        <v>46193</v>
      </c>
      <c r="D64" t="inlineStr">
        <is>
          <t>NORRBOTTENS LÄN</t>
        </is>
      </c>
      <c r="E64" t="inlineStr">
        <is>
          <t>KIRUNA</t>
        </is>
      </c>
      <c r="G64" t="n">
        <v>8.4</v>
      </c>
      <c r="H64" t="n">
        <v>0</v>
      </c>
      <c r="I64" t="n">
        <v>0</v>
      </c>
      <c r="J64" t="n">
        <v>0</v>
      </c>
      <c r="K64" t="n">
        <v>0</v>
      </c>
      <c r="L64" t="n">
        <v>0</v>
      </c>
      <c r="M64" t="n">
        <v>0</v>
      </c>
      <c r="N64" t="n">
        <v>0</v>
      </c>
      <c r="O64" t="n">
        <v>0</v>
      </c>
      <c r="P64" t="n">
        <v>0</v>
      </c>
      <c r="Q64" t="n">
        <v>0</v>
      </c>
      <c r="R64" s="2" t="inlineStr"/>
    </row>
    <row r="65" ht="15" customHeight="1">
      <c r="A65" t="inlineStr">
        <is>
          <t>A 34663-2025</t>
        </is>
      </c>
      <c r="B65" s="1" t="n">
        <v>45848</v>
      </c>
      <c r="C65" s="1" t="n">
        <v>46193</v>
      </c>
      <c r="D65" t="inlineStr">
        <is>
          <t>NORRBOTTENS LÄN</t>
        </is>
      </c>
      <c r="E65" t="inlineStr">
        <is>
          <t>KIRUNA</t>
        </is>
      </c>
      <c r="G65" t="n">
        <v>5.1</v>
      </c>
      <c r="H65" t="n">
        <v>0</v>
      </c>
      <c r="I65" t="n">
        <v>0</v>
      </c>
      <c r="J65" t="n">
        <v>0</v>
      </c>
      <c r="K65" t="n">
        <v>0</v>
      </c>
      <c r="L65" t="n">
        <v>0</v>
      </c>
      <c r="M65" t="n">
        <v>0</v>
      </c>
      <c r="N65" t="n">
        <v>0</v>
      </c>
      <c r="O65" t="n">
        <v>0</v>
      </c>
      <c r="P65" t="n">
        <v>0</v>
      </c>
      <c r="Q65" t="n">
        <v>0</v>
      </c>
      <c r="R65" s="2" t="inlineStr"/>
    </row>
    <row r="66" ht="15" customHeight="1">
      <c r="A66" t="inlineStr">
        <is>
          <t>A 20744-2024</t>
        </is>
      </c>
      <c r="B66" s="1" t="n">
        <v>45436</v>
      </c>
      <c r="C66" s="1" t="n">
        <v>46193</v>
      </c>
      <c r="D66" t="inlineStr">
        <is>
          <t>NORRBOTTENS LÄN</t>
        </is>
      </c>
      <c r="E66" t="inlineStr">
        <is>
          <t>KIRUNA</t>
        </is>
      </c>
      <c r="G66" t="n">
        <v>9.699999999999999</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46193</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46193</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148-2026</t>
        </is>
      </c>
      <c r="B69" s="1" t="n">
        <v>46024</v>
      </c>
      <c r="C69" s="1" t="n">
        <v>46193</v>
      </c>
      <c r="D69" t="inlineStr">
        <is>
          <t>NORRBOTTENS LÄN</t>
        </is>
      </c>
      <c r="E69" t="inlineStr">
        <is>
          <t>KIRUNA</t>
        </is>
      </c>
      <c r="G69" t="n">
        <v>10.2</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46193</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21268-2026</t>
        </is>
      </c>
      <c r="B71" s="1" t="n">
        <v>46147</v>
      </c>
      <c r="C71" s="1" t="n">
        <v>46193</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2664-2026</t>
        </is>
      </c>
      <c r="B72" s="1" t="n">
        <v>46037</v>
      </c>
      <c r="C72" s="1" t="n">
        <v>46193</v>
      </c>
      <c r="D72" t="inlineStr">
        <is>
          <t>NORRBOTTENS LÄN</t>
        </is>
      </c>
      <c r="E72" t="inlineStr">
        <is>
          <t>KIRUNA</t>
        </is>
      </c>
      <c r="G72" t="n">
        <v>31.3</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46193</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46193</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46193</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20578-2025</t>
        </is>
      </c>
      <c r="B76" s="1" t="n">
        <v>45775</v>
      </c>
      <c r="C76" s="1" t="n">
        <v>46193</v>
      </c>
      <c r="D76" t="inlineStr">
        <is>
          <t>NORRBOTTENS LÄN</t>
        </is>
      </c>
      <c r="E76" t="inlineStr">
        <is>
          <t>KIRUNA</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46193</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13405-2026</t>
        </is>
      </c>
      <c r="B78" s="1" t="n">
        <v>46094</v>
      </c>
      <c r="C78" s="1" t="n">
        <v>46193</v>
      </c>
      <c r="D78" t="inlineStr">
        <is>
          <t>NORRBOTTENS LÄN</t>
        </is>
      </c>
      <c r="E78" t="inlineStr">
        <is>
          <t>KIRUNA</t>
        </is>
      </c>
      <c r="G78" t="n">
        <v>24.5</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46193</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18388-2026</t>
        </is>
      </c>
      <c r="B80" s="1" t="n">
        <v>46126</v>
      </c>
      <c r="C80" s="1" t="n">
        <v>46193</v>
      </c>
      <c r="D80" t="inlineStr">
        <is>
          <t>NORRBOTTENS LÄN</t>
        </is>
      </c>
      <c r="E80" t="inlineStr">
        <is>
          <t>KIRUNA</t>
        </is>
      </c>
      <c r="G80" t="n">
        <v>5.2</v>
      </c>
      <c r="H80" t="n">
        <v>0</v>
      </c>
      <c r="I80" t="n">
        <v>0</v>
      </c>
      <c r="J80" t="n">
        <v>0</v>
      </c>
      <c r="K80" t="n">
        <v>0</v>
      </c>
      <c r="L80" t="n">
        <v>0</v>
      </c>
      <c r="M80" t="n">
        <v>0</v>
      </c>
      <c r="N80" t="n">
        <v>0</v>
      </c>
      <c r="O80" t="n">
        <v>0</v>
      </c>
      <c r="P80" t="n">
        <v>0</v>
      </c>
      <c r="Q80" t="n">
        <v>0</v>
      </c>
      <c r="R80" s="2" t="inlineStr"/>
    </row>
    <row r="81" ht="15" customHeight="1">
      <c r="A81" t="inlineStr">
        <is>
          <t>A 12937-2026</t>
        </is>
      </c>
      <c r="B81" s="1" t="n">
        <v>46092</v>
      </c>
      <c r="C81" s="1" t="n">
        <v>46193</v>
      </c>
      <c r="D81" t="inlineStr">
        <is>
          <t>NORRBOTTENS LÄN</t>
        </is>
      </c>
      <c r="E81" t="inlineStr">
        <is>
          <t>KIRUNA</t>
        </is>
      </c>
      <c r="G81" t="n">
        <v>37.2</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46193</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c r="A83" t="inlineStr">
        <is>
          <t>A 12969-2026</t>
        </is>
      </c>
      <c r="B83" s="1" t="n">
        <v>46092</v>
      </c>
      <c r="C83" s="1" t="n">
        <v>46193</v>
      </c>
      <c r="D83" t="inlineStr">
        <is>
          <t>NORRBOTTENS LÄN</t>
        </is>
      </c>
      <c r="E83" t="inlineStr">
        <is>
          <t>KIRUNA</t>
        </is>
      </c>
      <c r="G83" t="n">
        <v>5</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2026-06-20T00:45:48Z</dcterms:created>
  <dcterms:modified xmlns:dcterms="http://purl.org/dc/terms/" xmlns:xsi="http://www.w3.org/2001/XMLSchema-instance" xsi:type="dcterms:W3CDTF">2026-06-20T00:45:48Z</dcterms:modified>
</cp:coreProperties>
</file>