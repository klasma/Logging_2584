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46205</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46205</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46205</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46205</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46205</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46205</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46205</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22495-2024</t>
        </is>
      </c>
      <c r="B9" s="1" t="n">
        <v>45447</v>
      </c>
      <c r="C9" s="1" t="n">
        <v>46205</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46205</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53309-2023</t>
        </is>
      </c>
      <c r="B11" s="1" t="n">
        <v>45229</v>
      </c>
      <c r="C11" s="1" t="n">
        <v>46205</v>
      </c>
      <c r="D11" t="inlineStr">
        <is>
          <t>NORRBOTTENS LÄN</t>
        </is>
      </c>
      <c r="E11" t="inlineStr">
        <is>
          <t>KIRUNA</t>
        </is>
      </c>
      <c r="G11" t="n">
        <v>1.6</v>
      </c>
      <c r="H11" t="n">
        <v>3</v>
      </c>
      <c r="I11" t="n">
        <v>0</v>
      </c>
      <c r="J11" t="n">
        <v>0</v>
      </c>
      <c r="K11" t="n">
        <v>0</v>
      </c>
      <c r="L11" t="n">
        <v>0</v>
      </c>
      <c r="M11" t="n">
        <v>0</v>
      </c>
      <c r="N11" t="n">
        <v>0</v>
      </c>
      <c r="O11" t="n">
        <v>0</v>
      </c>
      <c r="P11" t="n">
        <v>0</v>
      </c>
      <c r="Q11" t="n">
        <v>3</v>
      </c>
      <c r="R11" s="2" t="inlineStr">
        <is>
          <t>Fiskgjuse
Grönsiska
Havsörn</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20780-2025</t>
        </is>
      </c>
      <c r="B12" s="1" t="n">
        <v>45776</v>
      </c>
      <c r="C12" s="1" t="n">
        <v>46205</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53264-2023</t>
        </is>
      </c>
      <c r="B13" s="1" t="n">
        <v>45222</v>
      </c>
      <c r="C13" s="1" t="n">
        <v>46205</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58860-2022</t>
        </is>
      </c>
      <c r="B14" s="1" t="n">
        <v>44896</v>
      </c>
      <c r="C14" s="1" t="n">
        <v>46205</v>
      </c>
      <c r="D14" t="inlineStr">
        <is>
          <t>NORRBOTTENS LÄN</t>
        </is>
      </c>
      <c r="E14" t="inlineStr">
        <is>
          <t>KIRUNA</t>
        </is>
      </c>
      <c r="G14" t="n">
        <v>0.3</v>
      </c>
      <c r="H14" t="n">
        <v>2</v>
      </c>
      <c r="I14" t="n">
        <v>0</v>
      </c>
      <c r="J14" t="n">
        <v>0</v>
      </c>
      <c r="K14" t="n">
        <v>0</v>
      </c>
      <c r="L14" t="n">
        <v>1</v>
      </c>
      <c r="M14" t="n">
        <v>0</v>
      </c>
      <c r="N14" t="n">
        <v>0</v>
      </c>
      <c r="O14" t="n">
        <v>1</v>
      </c>
      <c r="P14" t="n">
        <v>1</v>
      </c>
      <c r="Q14" t="n">
        <v>2</v>
      </c>
      <c r="R14" s="2" t="inlineStr">
        <is>
          <t>Brun glada
Salskrake</t>
        </is>
      </c>
      <c r="S14">
        <f>HYPERLINK("https://klasma.github.io/Logging_2584/artfynd/A 58860-2022 artfynd.xlsx", "A 58860-2022")</f>
        <v/>
      </c>
      <c r="T14">
        <f>HYPERLINK("https://klasma.github.io/Logging_2584/kartor/A 58860-2022 karta.png", "A 58860-2022")</f>
        <v/>
      </c>
      <c r="V14">
        <f>HYPERLINK("https://klasma.github.io/Logging_2584/klagomål/A 58860-2022 FSC-klagomål.docx", "A 58860-2022")</f>
        <v/>
      </c>
      <c r="W14">
        <f>HYPERLINK("https://klasma.github.io/Logging_2584/klagomålsmail/A 58860-2022 FSC-klagomål mail.docx", "A 58860-2022")</f>
        <v/>
      </c>
      <c r="X14">
        <f>HYPERLINK("https://klasma.github.io/Logging_2584/tillsyn/A 58860-2022 tillsynsbegäran.docx", "A 58860-2022")</f>
        <v/>
      </c>
      <c r="Y14">
        <f>HYPERLINK("https://klasma.github.io/Logging_2584/tillsynsmail/A 58860-2022 tillsynsbegäran mail.docx", "A 58860-2022")</f>
        <v/>
      </c>
      <c r="Z14">
        <f>HYPERLINK("https://klasma.github.io/Logging_2584/fåglar/A 58860-2022 prioriterade fågelarter.docx", "A 58860-2022")</f>
        <v/>
      </c>
    </row>
    <row r="15" ht="15" customHeight="1">
      <c r="A15" t="inlineStr">
        <is>
          <t>A 53264-2023</t>
        </is>
      </c>
      <c r="B15" s="1" t="n">
        <v>45222</v>
      </c>
      <c r="C15" s="1" t="n">
        <v>46205</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46205</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46205</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60064-2023</t>
        </is>
      </c>
      <c r="B18" s="1" t="n">
        <v>45258</v>
      </c>
      <c r="C18" s="1" t="n">
        <v>46205</v>
      </c>
      <c r="D18" t="inlineStr">
        <is>
          <t>NORRBOTTENS LÄN</t>
        </is>
      </c>
      <c r="E18" t="inlineStr">
        <is>
          <t>KIRUNA</t>
        </is>
      </c>
      <c r="G18" t="n">
        <v>19.8</v>
      </c>
      <c r="H18" t="n">
        <v>1</v>
      </c>
      <c r="I18" t="n">
        <v>0</v>
      </c>
      <c r="J18" t="n">
        <v>0</v>
      </c>
      <c r="K18" t="n">
        <v>0</v>
      </c>
      <c r="L18" t="n">
        <v>0</v>
      </c>
      <c r="M18" t="n">
        <v>0</v>
      </c>
      <c r="N18" t="n">
        <v>0</v>
      </c>
      <c r="O18" t="n">
        <v>0</v>
      </c>
      <c r="P18" t="n">
        <v>0</v>
      </c>
      <c r="Q18" t="n">
        <v>1</v>
      </c>
      <c r="R18" s="2" t="inlineStr">
        <is>
          <t>Tjäder</t>
        </is>
      </c>
      <c r="S18">
        <f>HYPERLINK("https://klasma.github.io/Logging_2584/artfynd/A 60064-2023 artfynd.xlsx", "A 60064-2023")</f>
        <v/>
      </c>
      <c r="T18">
        <f>HYPERLINK("https://klasma.github.io/Logging_2584/kartor/A 60064-2023 karta.png", "A 60064-2023")</f>
        <v/>
      </c>
      <c r="V18">
        <f>HYPERLINK("https://klasma.github.io/Logging_2584/klagomål/A 60064-2023 FSC-klagomål.docx", "A 60064-2023")</f>
        <v/>
      </c>
      <c r="W18">
        <f>HYPERLINK("https://klasma.github.io/Logging_2584/klagomålsmail/A 60064-2023 FSC-klagomål mail.docx", "A 60064-2023")</f>
        <v/>
      </c>
      <c r="X18">
        <f>HYPERLINK("https://klasma.github.io/Logging_2584/tillsyn/A 60064-2023 tillsynsbegäran.docx", "A 60064-2023")</f>
        <v/>
      </c>
      <c r="Y18">
        <f>HYPERLINK("https://klasma.github.io/Logging_2584/tillsynsmail/A 60064-2023 tillsynsbegäran mail.docx", "A 60064-2023")</f>
        <v/>
      </c>
      <c r="Z18">
        <f>HYPERLINK("https://klasma.github.io/Logging_2584/fåglar/A 60064-2023 prioriterade fågelarter.docx", "A 60064-2023")</f>
        <v/>
      </c>
    </row>
    <row r="19" ht="15" customHeight="1">
      <c r="A19" t="inlineStr">
        <is>
          <t>A 2660-2026</t>
        </is>
      </c>
      <c r="B19" s="1" t="n">
        <v>46037</v>
      </c>
      <c r="C19" s="1" t="n">
        <v>46205</v>
      </c>
      <c r="D19" t="inlineStr">
        <is>
          <t>NORRBOTTENS LÄN</t>
        </is>
      </c>
      <c r="E19" t="inlineStr">
        <is>
          <t>KIRUNA</t>
        </is>
      </c>
      <c r="G19" t="n">
        <v>1.1</v>
      </c>
      <c r="H19" t="n">
        <v>0</v>
      </c>
      <c r="I19" t="n">
        <v>0</v>
      </c>
      <c r="J19" t="n">
        <v>1</v>
      </c>
      <c r="K19" t="n">
        <v>0</v>
      </c>
      <c r="L19" t="n">
        <v>0</v>
      </c>
      <c r="M19" t="n">
        <v>0</v>
      </c>
      <c r="N19" t="n">
        <v>0</v>
      </c>
      <c r="O19" t="n">
        <v>1</v>
      </c>
      <c r="P19" t="n">
        <v>0</v>
      </c>
      <c r="Q19" t="n">
        <v>1</v>
      </c>
      <c r="R19" s="2" t="inlineStr">
        <is>
          <t>Vaddporing</t>
        </is>
      </c>
      <c r="S19">
        <f>HYPERLINK("https://klasma.github.io/Logging_2584/artfynd/A 2660-2026 artfynd.xlsx", "A 2660-2026")</f>
        <v/>
      </c>
      <c r="T19">
        <f>HYPERLINK("https://klasma.github.io/Logging_2584/kartor/A 2660-2026 karta.png", "A 2660-2026")</f>
        <v/>
      </c>
      <c r="V19">
        <f>HYPERLINK("https://klasma.github.io/Logging_2584/klagomål/A 2660-2026 FSC-klagomål.docx", "A 2660-2026")</f>
        <v/>
      </c>
      <c r="W19">
        <f>HYPERLINK("https://klasma.github.io/Logging_2584/klagomålsmail/A 2660-2026 FSC-klagomål mail.docx", "A 2660-2026")</f>
        <v/>
      </c>
      <c r="X19">
        <f>HYPERLINK("https://klasma.github.io/Logging_2584/tillsyn/A 2660-2026 tillsynsbegäran.docx", "A 2660-2026")</f>
        <v/>
      </c>
      <c r="Y19">
        <f>HYPERLINK("https://klasma.github.io/Logging_2584/tillsynsmail/A 2660-2026 tillsynsbegäran mail.docx", "A 2660-2026")</f>
        <v/>
      </c>
    </row>
    <row r="20" ht="15" customHeight="1">
      <c r="A20" t="inlineStr">
        <is>
          <t>A 5842-2023</t>
        </is>
      </c>
      <c r="B20" s="1" t="n">
        <v>44958</v>
      </c>
      <c r="C20" s="1" t="n">
        <v>46205</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4367-2024</t>
        </is>
      </c>
      <c r="B21" s="1" t="n">
        <v>45326</v>
      </c>
      <c r="C21" s="1" t="n">
        <v>46205</v>
      </c>
      <c r="D21" t="inlineStr">
        <is>
          <t>NORRBOTTENS LÄN</t>
        </is>
      </c>
      <c r="E21" t="inlineStr">
        <is>
          <t>KIRUNA</t>
        </is>
      </c>
      <c r="G21" t="n">
        <v>7.5</v>
      </c>
      <c r="H21" t="n">
        <v>0</v>
      </c>
      <c r="I21" t="n">
        <v>0</v>
      </c>
      <c r="J21" t="n">
        <v>1</v>
      </c>
      <c r="K21" t="n">
        <v>0</v>
      </c>
      <c r="L21" t="n">
        <v>0</v>
      </c>
      <c r="M21" t="n">
        <v>0</v>
      </c>
      <c r="N21" t="n">
        <v>0</v>
      </c>
      <c r="O21" t="n">
        <v>1</v>
      </c>
      <c r="P21" t="n">
        <v>0</v>
      </c>
      <c r="Q21" t="n">
        <v>1</v>
      </c>
      <c r="R21" s="2" t="inlineStr">
        <is>
          <t>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16024-2024</t>
        </is>
      </c>
      <c r="B22" s="1" t="n">
        <v>45405</v>
      </c>
      <c r="C22" s="1" t="n">
        <v>46205</v>
      </c>
      <c r="D22" t="inlineStr">
        <is>
          <t>NORRBOTTENS LÄN</t>
        </is>
      </c>
      <c r="E22" t="inlineStr">
        <is>
          <t>KIRUNA</t>
        </is>
      </c>
      <c r="G22" t="n">
        <v>2.3</v>
      </c>
      <c r="H22" t="n">
        <v>0</v>
      </c>
      <c r="I22" t="n">
        <v>0</v>
      </c>
      <c r="J22" t="n">
        <v>1</v>
      </c>
      <c r="K22" t="n">
        <v>0</v>
      </c>
      <c r="L22" t="n">
        <v>0</v>
      </c>
      <c r="M22" t="n">
        <v>0</v>
      </c>
      <c r="N22" t="n">
        <v>0</v>
      </c>
      <c r="O22" t="n">
        <v>1</v>
      </c>
      <c r="P22" t="n">
        <v>0</v>
      </c>
      <c r="Q22" t="n">
        <v>1</v>
      </c>
      <c r="R22" s="2" t="inlineStr">
        <is>
          <t>Vedskivlav</t>
        </is>
      </c>
      <c r="S22">
        <f>HYPERLINK("https://klasma.github.io/Logging_2584/artfynd/A 16024-2024 artfynd.xlsx", "A 16024-2024")</f>
        <v/>
      </c>
      <c r="T22">
        <f>HYPERLINK("https://klasma.github.io/Logging_2584/kartor/A 16024-2024 karta.png", "A 16024-2024")</f>
        <v/>
      </c>
      <c r="V22">
        <f>HYPERLINK("https://klasma.github.io/Logging_2584/klagomål/A 16024-2024 FSC-klagomål.docx", "A 16024-2024")</f>
        <v/>
      </c>
      <c r="W22">
        <f>HYPERLINK("https://klasma.github.io/Logging_2584/klagomålsmail/A 16024-2024 FSC-klagomål mail.docx", "A 16024-2024")</f>
        <v/>
      </c>
      <c r="X22">
        <f>HYPERLINK("https://klasma.github.io/Logging_2584/tillsyn/A 16024-2024 tillsynsbegäran.docx", "A 16024-2024")</f>
        <v/>
      </c>
      <c r="Y22">
        <f>HYPERLINK("https://klasma.github.io/Logging_2584/tillsynsmail/A 16024-2024 tillsynsbegäran mail.docx", "A 16024-2024")</f>
        <v/>
      </c>
    </row>
    <row r="23" ht="15" customHeight="1">
      <c r="A23" t="inlineStr">
        <is>
          <t>A 61066-2024</t>
        </is>
      </c>
      <c r="B23" s="1" t="n">
        <v>45645</v>
      </c>
      <c r="C23" s="1" t="n">
        <v>46205</v>
      </c>
      <c r="D23" t="inlineStr">
        <is>
          <t>NORRBOTTENS LÄN</t>
        </is>
      </c>
      <c r="E23" t="inlineStr">
        <is>
          <t>KIRUNA</t>
        </is>
      </c>
      <c r="G23" t="n">
        <v>4.5</v>
      </c>
      <c r="H23" t="n">
        <v>1</v>
      </c>
      <c r="I23" t="n">
        <v>0</v>
      </c>
      <c r="J23" t="n">
        <v>0</v>
      </c>
      <c r="K23" t="n">
        <v>0</v>
      </c>
      <c r="L23" t="n">
        <v>0</v>
      </c>
      <c r="M23" t="n">
        <v>0</v>
      </c>
      <c r="N23" t="n">
        <v>0</v>
      </c>
      <c r="O23" t="n">
        <v>0</v>
      </c>
      <c r="P23" t="n">
        <v>0</v>
      </c>
      <c r="Q23" t="n">
        <v>1</v>
      </c>
      <c r="R23" s="2" t="inlineStr">
        <is>
          <t>Tjäder</t>
        </is>
      </c>
      <c r="S23">
        <f>HYPERLINK("https://klasma.github.io/Logging_2584/artfynd/A 61066-2024 artfynd.xlsx", "A 61066-2024")</f>
        <v/>
      </c>
      <c r="T23">
        <f>HYPERLINK("https://klasma.github.io/Logging_2584/kartor/A 61066-2024 karta.png", "A 61066-2024")</f>
        <v/>
      </c>
      <c r="V23">
        <f>HYPERLINK("https://klasma.github.io/Logging_2584/klagomål/A 61066-2024 FSC-klagomål.docx", "A 61066-2024")</f>
        <v/>
      </c>
      <c r="W23">
        <f>HYPERLINK("https://klasma.github.io/Logging_2584/klagomålsmail/A 61066-2024 FSC-klagomål mail.docx", "A 61066-2024")</f>
        <v/>
      </c>
      <c r="X23">
        <f>HYPERLINK("https://klasma.github.io/Logging_2584/tillsyn/A 61066-2024 tillsynsbegäran.docx", "A 61066-2024")</f>
        <v/>
      </c>
      <c r="Y23">
        <f>HYPERLINK("https://klasma.github.io/Logging_2584/tillsynsmail/A 61066-2024 tillsynsbegäran mail.docx", "A 61066-2024")</f>
        <v/>
      </c>
      <c r="Z23">
        <f>HYPERLINK("https://klasma.github.io/Logging_2584/fåglar/A 61066-2024 prioriterade fågelarter.docx", "A 61066-2024")</f>
        <v/>
      </c>
    </row>
    <row r="24" ht="15" customHeight="1">
      <c r="A24" t="inlineStr">
        <is>
          <t>A 45205-2022</t>
        </is>
      </c>
      <c r="B24" s="1" t="n">
        <v>44840</v>
      </c>
      <c r="C24" s="1" t="n">
        <v>46205</v>
      </c>
      <c r="D24" t="inlineStr">
        <is>
          <t>NORRBOTTENS LÄN</t>
        </is>
      </c>
      <c r="E24" t="inlineStr">
        <is>
          <t>KIRUNA</t>
        </is>
      </c>
      <c r="F24" t="inlineStr">
        <is>
          <t>Övriga statliga verk och myndigheter</t>
        </is>
      </c>
      <c r="G24" t="n">
        <v>1.5</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46205</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46205</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v>
      </c>
      <c r="C27" s="1" t="n">
        <v>46205</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v>
      </c>
      <c r="C28" s="1" t="n">
        <v>46205</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46205</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50590-2023</t>
        </is>
      </c>
      <c r="B30" s="1" t="n">
        <v>45217</v>
      </c>
      <c r="C30" s="1" t="n">
        <v>46205</v>
      </c>
      <c r="D30" t="inlineStr">
        <is>
          <t>NORRBOTTENS LÄN</t>
        </is>
      </c>
      <c r="E30" t="inlineStr">
        <is>
          <t>KIRUNA</t>
        </is>
      </c>
      <c r="G30" t="n">
        <v>1.3</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46205</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9069-2023</t>
        </is>
      </c>
      <c r="B32" s="1" t="n">
        <v>44979</v>
      </c>
      <c r="C32" s="1" t="n">
        <v>46205</v>
      </c>
      <c r="D32" t="inlineStr">
        <is>
          <t>NORRBOTTENS LÄN</t>
        </is>
      </c>
      <c r="E32" t="inlineStr">
        <is>
          <t>KIRUNA</t>
        </is>
      </c>
      <c r="F32" t="inlineStr">
        <is>
          <t>SCA</t>
        </is>
      </c>
      <c r="G32" t="n">
        <v>4</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46205</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46205</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62439-2022</t>
        </is>
      </c>
      <c r="B35" s="1" t="n">
        <v>44916</v>
      </c>
      <c r="C35" s="1" t="n">
        <v>46205</v>
      </c>
      <c r="D35" t="inlineStr">
        <is>
          <t>NORRBOTTENS LÄN</t>
        </is>
      </c>
      <c r="E35" t="inlineStr">
        <is>
          <t>KIRUNA</t>
        </is>
      </c>
      <c r="G35" t="n">
        <v>3.2</v>
      </c>
      <c r="H35" t="n">
        <v>0</v>
      </c>
      <c r="I35" t="n">
        <v>0</v>
      </c>
      <c r="J35" t="n">
        <v>0</v>
      </c>
      <c r="K35" t="n">
        <v>0</v>
      </c>
      <c r="L35" t="n">
        <v>0</v>
      </c>
      <c r="M35" t="n">
        <v>0</v>
      </c>
      <c r="N35" t="n">
        <v>0</v>
      </c>
      <c r="O35" t="n">
        <v>0</v>
      </c>
      <c r="P35" t="n">
        <v>0</v>
      </c>
      <c r="Q35" t="n">
        <v>0</v>
      </c>
      <c r="R35" s="2" t="inlineStr"/>
    </row>
    <row r="36" ht="15" customHeight="1">
      <c r="A36" t="inlineStr">
        <is>
          <t>A 22504-2024</t>
        </is>
      </c>
      <c r="B36" s="1" t="n">
        <v>45447</v>
      </c>
      <c r="C36" s="1" t="n">
        <v>46205</v>
      </c>
      <c r="D36" t="inlineStr">
        <is>
          <t>NORRBOTTENS LÄN</t>
        </is>
      </c>
      <c r="E36" t="inlineStr">
        <is>
          <t>KIRUNA</t>
        </is>
      </c>
      <c r="G36" t="n">
        <v>15.6</v>
      </c>
      <c r="H36" t="n">
        <v>0</v>
      </c>
      <c r="I36" t="n">
        <v>0</v>
      </c>
      <c r="J36" t="n">
        <v>0</v>
      </c>
      <c r="K36" t="n">
        <v>0</v>
      </c>
      <c r="L36" t="n">
        <v>0</v>
      </c>
      <c r="M36" t="n">
        <v>0</v>
      </c>
      <c r="N36" t="n">
        <v>0</v>
      </c>
      <c r="O36" t="n">
        <v>0</v>
      </c>
      <c r="P36" t="n">
        <v>0</v>
      </c>
      <c r="Q36" t="n">
        <v>0</v>
      </c>
      <c r="R36" s="2" t="inlineStr"/>
    </row>
    <row r="37" ht="15" customHeight="1">
      <c r="A37" t="inlineStr">
        <is>
          <t>A 2664-2026</t>
        </is>
      </c>
      <c r="B37" s="1" t="n">
        <v>46037</v>
      </c>
      <c r="C37" s="1" t="n">
        <v>46205</v>
      </c>
      <c r="D37" t="inlineStr">
        <is>
          <t>NORRBOTTENS LÄN</t>
        </is>
      </c>
      <c r="E37" t="inlineStr">
        <is>
          <t>KIRUNA</t>
        </is>
      </c>
      <c r="G37" t="n">
        <v>31.3</v>
      </c>
      <c r="H37" t="n">
        <v>0</v>
      </c>
      <c r="I37" t="n">
        <v>0</v>
      </c>
      <c r="J37" t="n">
        <v>0</v>
      </c>
      <c r="K37" t="n">
        <v>0</v>
      </c>
      <c r="L37" t="n">
        <v>0</v>
      </c>
      <c r="M37" t="n">
        <v>0</v>
      </c>
      <c r="N37" t="n">
        <v>0</v>
      </c>
      <c r="O37" t="n">
        <v>0</v>
      </c>
      <c r="P37" t="n">
        <v>0</v>
      </c>
      <c r="Q37" t="n">
        <v>0</v>
      </c>
      <c r="R37" s="2" t="inlineStr"/>
    </row>
    <row r="38" ht="15" customHeight="1">
      <c r="A38" t="inlineStr">
        <is>
          <t>A 5476-2024</t>
        </is>
      </c>
      <c r="B38" s="1" t="n">
        <v>45333</v>
      </c>
      <c r="C38" s="1" t="n">
        <v>46205</v>
      </c>
      <c r="D38" t="inlineStr">
        <is>
          <t>NORRBOTTENS LÄN</t>
        </is>
      </c>
      <c r="E38" t="inlineStr">
        <is>
          <t>KIRUNA</t>
        </is>
      </c>
      <c r="G38" t="n">
        <v>1.8</v>
      </c>
      <c r="H38" t="n">
        <v>0</v>
      </c>
      <c r="I38" t="n">
        <v>0</v>
      </c>
      <c r="J38" t="n">
        <v>0</v>
      </c>
      <c r="K38" t="n">
        <v>0</v>
      </c>
      <c r="L38" t="n">
        <v>0</v>
      </c>
      <c r="M38" t="n">
        <v>0</v>
      </c>
      <c r="N38" t="n">
        <v>0</v>
      </c>
      <c r="O38" t="n">
        <v>0</v>
      </c>
      <c r="P38" t="n">
        <v>0</v>
      </c>
      <c r="Q38" t="n">
        <v>0</v>
      </c>
      <c r="R38" s="2" t="inlineStr"/>
    </row>
    <row r="39" ht="15" customHeight="1">
      <c r="A39" t="inlineStr">
        <is>
          <t>A 33183-2025</t>
        </is>
      </c>
      <c r="B39" s="1" t="n">
        <v>45840</v>
      </c>
      <c r="C39" s="1" t="n">
        <v>46205</v>
      </c>
      <c r="D39" t="inlineStr">
        <is>
          <t>NORRBOTTENS LÄN</t>
        </is>
      </c>
      <c r="E39" t="inlineStr">
        <is>
          <t>KIRUNA</t>
        </is>
      </c>
      <c r="G39" t="n">
        <v>2.8</v>
      </c>
      <c r="H39" t="n">
        <v>0</v>
      </c>
      <c r="I39" t="n">
        <v>0</v>
      </c>
      <c r="J39" t="n">
        <v>0</v>
      </c>
      <c r="K39" t="n">
        <v>0</v>
      </c>
      <c r="L39" t="n">
        <v>0</v>
      </c>
      <c r="M39" t="n">
        <v>0</v>
      </c>
      <c r="N39" t="n">
        <v>0</v>
      </c>
      <c r="O39" t="n">
        <v>0</v>
      </c>
      <c r="P39" t="n">
        <v>0</v>
      </c>
      <c r="Q39" t="n">
        <v>0</v>
      </c>
      <c r="R39" s="2" t="inlineStr"/>
    </row>
    <row r="40" ht="15" customHeight="1">
      <c r="A40" t="inlineStr">
        <is>
          <t>A 34664-2025</t>
        </is>
      </c>
      <c r="B40" s="1" t="n">
        <v>45848</v>
      </c>
      <c r="C40" s="1" t="n">
        <v>46205</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34663-2025</t>
        </is>
      </c>
      <c r="B41" s="1" t="n">
        <v>45848</v>
      </c>
      <c r="C41" s="1" t="n">
        <v>46205</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46205</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50338-2025</t>
        </is>
      </c>
      <c r="B43" s="1" t="n">
        <v>45944</v>
      </c>
      <c r="C43" s="1" t="n">
        <v>46205</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46205</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23469-2022</t>
        </is>
      </c>
      <c r="B45" s="1" t="n">
        <v>44721</v>
      </c>
      <c r="C45" s="1" t="n">
        <v>46205</v>
      </c>
      <c r="D45" t="inlineStr">
        <is>
          <t>NORRBOTTENS LÄN</t>
        </is>
      </c>
      <c r="E45" t="inlineStr">
        <is>
          <t>KIRUNA</t>
        </is>
      </c>
      <c r="G45" t="n">
        <v>11.8</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46205</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20893-2025</t>
        </is>
      </c>
      <c r="B47" s="1" t="n">
        <v>45776</v>
      </c>
      <c r="C47" s="1" t="n">
        <v>46205</v>
      </c>
      <c r="D47" t="inlineStr">
        <is>
          <t>NORRBOTTENS LÄN</t>
        </is>
      </c>
      <c r="E47" t="inlineStr">
        <is>
          <t>KIRUNA</t>
        </is>
      </c>
      <c r="G47" t="n">
        <v>27.3</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46205</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46205</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46205</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46205</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46205</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46205</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148-2026</t>
        </is>
      </c>
      <c r="B54" s="1" t="n">
        <v>46024</v>
      </c>
      <c r="C54" s="1" t="n">
        <v>46205</v>
      </c>
      <c r="D54" t="inlineStr">
        <is>
          <t>NORRBOTTENS LÄN</t>
        </is>
      </c>
      <c r="E54" t="inlineStr">
        <is>
          <t>KIRUNA</t>
        </is>
      </c>
      <c r="G54" t="n">
        <v>10.2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46205</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13405-2026</t>
        </is>
      </c>
      <c r="B56" s="1" t="n">
        <v>46094</v>
      </c>
      <c r="C56" s="1" t="n">
        <v>46205</v>
      </c>
      <c r="D56" t="inlineStr">
        <is>
          <t>NORRBOTTENS LÄN</t>
        </is>
      </c>
      <c r="E56" t="inlineStr">
        <is>
          <t>KIRUNA</t>
        </is>
      </c>
      <c r="G56" t="n">
        <v>24.5</v>
      </c>
      <c r="H56" t="n">
        <v>0</v>
      </c>
      <c r="I56" t="n">
        <v>0</v>
      </c>
      <c r="J56" t="n">
        <v>0</v>
      </c>
      <c r="K56" t="n">
        <v>0</v>
      </c>
      <c r="L56" t="n">
        <v>0</v>
      </c>
      <c r="M56" t="n">
        <v>0</v>
      </c>
      <c r="N56" t="n">
        <v>0</v>
      </c>
      <c r="O56" t="n">
        <v>0</v>
      </c>
      <c r="P56" t="n">
        <v>0</v>
      </c>
      <c r="Q56" t="n">
        <v>0</v>
      </c>
      <c r="R56" s="2" t="inlineStr"/>
    </row>
    <row r="57" ht="15" customHeight="1">
      <c r="A57" t="inlineStr">
        <is>
          <t>A 20558-2025</t>
        </is>
      </c>
      <c r="B57" s="1" t="n">
        <v>45775</v>
      </c>
      <c r="C57" s="1" t="n">
        <v>46205</v>
      </c>
      <c r="D57" t="inlineStr">
        <is>
          <t>NORRBOTTENS LÄN</t>
        </is>
      </c>
      <c r="E57" t="inlineStr">
        <is>
          <t>KIRUNA</t>
        </is>
      </c>
      <c r="G57" t="n">
        <v>23.3</v>
      </c>
      <c r="H57" t="n">
        <v>0</v>
      </c>
      <c r="I57" t="n">
        <v>0</v>
      </c>
      <c r="J57" t="n">
        <v>0</v>
      </c>
      <c r="K57" t="n">
        <v>0</v>
      </c>
      <c r="L57" t="n">
        <v>0</v>
      </c>
      <c r="M57" t="n">
        <v>0</v>
      </c>
      <c r="N57" t="n">
        <v>0</v>
      </c>
      <c r="O57" t="n">
        <v>0</v>
      </c>
      <c r="P57" t="n">
        <v>0</v>
      </c>
      <c r="Q57" t="n">
        <v>0</v>
      </c>
      <c r="R57" s="2" t="inlineStr"/>
    </row>
    <row r="58" ht="15" customHeight="1">
      <c r="A58" t="inlineStr">
        <is>
          <t>A 38577-2024</t>
        </is>
      </c>
      <c r="B58" s="1" t="n">
        <v>45546</v>
      </c>
      <c r="C58" s="1" t="n">
        <v>46205</v>
      </c>
      <c r="D58" t="inlineStr">
        <is>
          <t>NORRBOTTENS LÄN</t>
        </is>
      </c>
      <c r="E58" t="inlineStr">
        <is>
          <t>KIRUNA</t>
        </is>
      </c>
      <c r="G58" t="n">
        <v>39.8</v>
      </c>
      <c r="H58" t="n">
        <v>0</v>
      </c>
      <c r="I58" t="n">
        <v>0</v>
      </c>
      <c r="J58" t="n">
        <v>0</v>
      </c>
      <c r="K58" t="n">
        <v>0</v>
      </c>
      <c r="L58" t="n">
        <v>0</v>
      </c>
      <c r="M58" t="n">
        <v>0</v>
      </c>
      <c r="N58" t="n">
        <v>0</v>
      </c>
      <c r="O58" t="n">
        <v>0</v>
      </c>
      <c r="P58" t="n">
        <v>0</v>
      </c>
      <c r="Q58" t="n">
        <v>0</v>
      </c>
      <c r="R58" s="2" t="inlineStr"/>
    </row>
    <row r="59" ht="15" customHeight="1">
      <c r="A59" t="inlineStr">
        <is>
          <t>A 16197-2026</t>
        </is>
      </c>
      <c r="B59" s="1" t="n">
        <v>46108</v>
      </c>
      <c r="C59" s="1" t="n">
        <v>46205</v>
      </c>
      <c r="D59" t="inlineStr">
        <is>
          <t>NORRBOTTENS LÄN</t>
        </is>
      </c>
      <c r="E59" t="inlineStr">
        <is>
          <t>KIRUNA</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13526-2024</t>
        </is>
      </c>
      <c r="B60" s="1" t="n">
        <v>45387</v>
      </c>
      <c r="C60" s="1" t="n">
        <v>46205</v>
      </c>
      <c r="D60" t="inlineStr">
        <is>
          <t>NORRBOTTENS LÄN</t>
        </is>
      </c>
      <c r="E60" t="inlineStr">
        <is>
          <t>KIRUNA</t>
        </is>
      </c>
      <c r="G60" t="n">
        <v>8.199999999999999</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46205</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18388-2026</t>
        </is>
      </c>
      <c r="B62" s="1" t="n">
        <v>46126</v>
      </c>
      <c r="C62" s="1" t="n">
        <v>46205</v>
      </c>
      <c r="D62" t="inlineStr">
        <is>
          <t>NORRBOTTENS LÄN</t>
        </is>
      </c>
      <c r="E62" t="inlineStr">
        <is>
          <t>KIRUNA</t>
        </is>
      </c>
      <c r="G62" t="n">
        <v>5.2</v>
      </c>
      <c r="H62" t="n">
        <v>0</v>
      </c>
      <c r="I62" t="n">
        <v>0</v>
      </c>
      <c r="J62" t="n">
        <v>0</v>
      </c>
      <c r="K62" t="n">
        <v>0</v>
      </c>
      <c r="L62" t="n">
        <v>0</v>
      </c>
      <c r="M62" t="n">
        <v>0</v>
      </c>
      <c r="N62" t="n">
        <v>0</v>
      </c>
      <c r="O62" t="n">
        <v>0</v>
      </c>
      <c r="P62" t="n">
        <v>0</v>
      </c>
      <c r="Q62" t="n">
        <v>0</v>
      </c>
      <c r="R62" s="2" t="inlineStr"/>
    </row>
    <row r="63" ht="15" customHeight="1">
      <c r="A63" t="inlineStr">
        <is>
          <t>A 12937-2026</t>
        </is>
      </c>
      <c r="B63" s="1" t="n">
        <v>46092</v>
      </c>
      <c r="C63" s="1" t="n">
        <v>46205</v>
      </c>
      <c r="D63" t="inlineStr">
        <is>
          <t>NORRBOTTENS LÄN</t>
        </is>
      </c>
      <c r="E63" t="inlineStr">
        <is>
          <t>KIRUNA</t>
        </is>
      </c>
      <c r="G63" t="n">
        <v>37.2</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46205</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12984-2026</t>
        </is>
      </c>
      <c r="B65" s="1" t="n">
        <v>46092</v>
      </c>
      <c r="C65" s="1" t="n">
        <v>46205</v>
      </c>
      <c r="D65" t="inlineStr">
        <is>
          <t>NORRBOTTENS LÄN</t>
        </is>
      </c>
      <c r="E65" t="inlineStr">
        <is>
          <t>KIRUNA</t>
        </is>
      </c>
      <c r="G65" t="n">
        <v>18.2</v>
      </c>
      <c r="H65" t="n">
        <v>0</v>
      </c>
      <c r="I65" t="n">
        <v>0</v>
      </c>
      <c r="J65" t="n">
        <v>0</v>
      </c>
      <c r="K65" t="n">
        <v>0</v>
      </c>
      <c r="L65" t="n">
        <v>0</v>
      </c>
      <c r="M65" t="n">
        <v>0</v>
      </c>
      <c r="N65" t="n">
        <v>0</v>
      </c>
      <c r="O65" t="n">
        <v>0</v>
      </c>
      <c r="P65" t="n">
        <v>0</v>
      </c>
      <c r="Q65" t="n">
        <v>0</v>
      </c>
      <c r="R65" s="2" t="inlineStr"/>
    </row>
    <row r="66" ht="15" customHeight="1">
      <c r="A66" t="inlineStr">
        <is>
          <t>A 12969-2026</t>
        </is>
      </c>
      <c r="B66" s="1" t="n">
        <v>46092</v>
      </c>
      <c r="C66" s="1" t="n">
        <v>46205</v>
      </c>
      <c r="D66" t="inlineStr">
        <is>
          <t>NORRBOTTENS LÄN</t>
        </is>
      </c>
      <c r="E66" t="inlineStr">
        <is>
          <t>KIRUNA</t>
        </is>
      </c>
      <c r="G66" t="n">
        <v>5</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46205</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46205</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46205</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46205</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46205</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46205</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28533-2026</t>
        </is>
      </c>
      <c r="B73" s="1" t="n">
        <v>46197</v>
      </c>
      <c r="C73" s="1" t="n">
        <v>46205</v>
      </c>
      <c r="D73" t="inlineStr">
        <is>
          <t>NORRBOTTENS LÄN</t>
        </is>
      </c>
      <c r="E73" t="inlineStr">
        <is>
          <t>KIRUNA</t>
        </is>
      </c>
      <c r="G73" t="n">
        <v>54.2</v>
      </c>
      <c r="H73" t="n">
        <v>0</v>
      </c>
      <c r="I73" t="n">
        <v>0</v>
      </c>
      <c r="J73" t="n">
        <v>0</v>
      </c>
      <c r="K73" t="n">
        <v>0</v>
      </c>
      <c r="L73" t="n">
        <v>0</v>
      </c>
      <c r="M73" t="n">
        <v>0</v>
      </c>
      <c r="N73" t="n">
        <v>0</v>
      </c>
      <c r="O73" t="n">
        <v>0</v>
      </c>
      <c r="P73" t="n">
        <v>0</v>
      </c>
      <c r="Q73" t="n">
        <v>0</v>
      </c>
      <c r="R73" s="2" t="inlineStr"/>
    </row>
    <row r="74" ht="15" customHeight="1">
      <c r="A74" t="inlineStr">
        <is>
          <t>A 29171-2026</t>
        </is>
      </c>
      <c r="B74" s="1" t="n">
        <v>46202</v>
      </c>
      <c r="C74" s="1" t="n">
        <v>46205</v>
      </c>
      <c r="D74" t="inlineStr">
        <is>
          <t>NORRBOTTENS LÄN</t>
        </is>
      </c>
      <c r="E74" t="inlineStr">
        <is>
          <t>KIRUNA</t>
        </is>
      </c>
      <c r="G74" t="n">
        <v>4.9</v>
      </c>
      <c r="H74" t="n">
        <v>0</v>
      </c>
      <c r="I74" t="n">
        <v>0</v>
      </c>
      <c r="J74" t="n">
        <v>0</v>
      </c>
      <c r="K74" t="n">
        <v>0</v>
      </c>
      <c r="L74" t="n">
        <v>0</v>
      </c>
      <c r="M74" t="n">
        <v>0</v>
      </c>
      <c r="N74" t="n">
        <v>0</v>
      </c>
      <c r="O74" t="n">
        <v>0</v>
      </c>
      <c r="P74" t="n">
        <v>0</v>
      </c>
      <c r="Q74" t="n">
        <v>0</v>
      </c>
      <c r="R74" s="2" t="inlineStr"/>
    </row>
    <row r="75" ht="15" customHeight="1">
      <c r="A75" t="inlineStr">
        <is>
          <t>A 29048-2026</t>
        </is>
      </c>
      <c r="B75" s="1" t="n">
        <v>46199</v>
      </c>
      <c r="C75" s="1" t="n">
        <v>46205</v>
      </c>
      <c r="D75" t="inlineStr">
        <is>
          <t>NORRBOTTENS LÄN</t>
        </is>
      </c>
      <c r="E75" t="inlineStr">
        <is>
          <t>KIRUNA</t>
        </is>
      </c>
      <c r="G75" t="n">
        <v>16.9</v>
      </c>
      <c r="H75" t="n">
        <v>0</v>
      </c>
      <c r="I75" t="n">
        <v>0</v>
      </c>
      <c r="J75" t="n">
        <v>0</v>
      </c>
      <c r="K75" t="n">
        <v>0</v>
      </c>
      <c r="L75" t="n">
        <v>0</v>
      </c>
      <c r="M75" t="n">
        <v>0</v>
      </c>
      <c r="N75" t="n">
        <v>0</v>
      </c>
      <c r="O75" t="n">
        <v>0</v>
      </c>
      <c r="P75" t="n">
        <v>0</v>
      </c>
      <c r="Q75" t="n">
        <v>0</v>
      </c>
      <c r="R75" s="2" t="inlineStr"/>
    </row>
    <row r="76" ht="15" customHeight="1">
      <c r="A76" t="inlineStr">
        <is>
          <t>A 21268-2026</t>
        </is>
      </c>
      <c r="B76" s="1" t="n">
        <v>46147</v>
      </c>
      <c r="C76" s="1" t="n">
        <v>46205</v>
      </c>
      <c r="D76" t="inlineStr">
        <is>
          <t>NORRBOTTENS LÄN</t>
        </is>
      </c>
      <c r="E76" t="inlineStr">
        <is>
          <t>KIRUNA</t>
        </is>
      </c>
      <c r="G76" t="n">
        <v>35.7</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46205</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29167-2026</t>
        </is>
      </c>
      <c r="B78" s="1" t="n">
        <v>46202</v>
      </c>
      <c r="C78" s="1" t="n">
        <v>46205</v>
      </c>
      <c r="D78" t="inlineStr">
        <is>
          <t>NORRBOTTENS LÄN</t>
        </is>
      </c>
      <c r="E78" t="inlineStr">
        <is>
          <t>KIRUNA</t>
        </is>
      </c>
      <c r="G78" t="n">
        <v>2.3</v>
      </c>
      <c r="H78" t="n">
        <v>0</v>
      </c>
      <c r="I78" t="n">
        <v>0</v>
      </c>
      <c r="J78" t="n">
        <v>0</v>
      </c>
      <c r="K78" t="n">
        <v>0</v>
      </c>
      <c r="L78" t="n">
        <v>0</v>
      </c>
      <c r="M78" t="n">
        <v>0</v>
      </c>
      <c r="N78" t="n">
        <v>0</v>
      </c>
      <c r="O78" t="n">
        <v>0</v>
      </c>
      <c r="P78" t="n">
        <v>0</v>
      </c>
      <c r="Q78" t="n">
        <v>0</v>
      </c>
      <c r="R78" s="2" t="inlineStr"/>
    </row>
    <row r="79" ht="15" customHeight="1">
      <c r="A79" t="inlineStr">
        <is>
          <t>A 29231-2026</t>
        </is>
      </c>
      <c r="B79" s="1" t="n">
        <v>46202</v>
      </c>
      <c r="C79" s="1" t="n">
        <v>46205</v>
      </c>
      <c r="D79" t="inlineStr">
        <is>
          <t>NORRBOTTENS LÄN</t>
        </is>
      </c>
      <c r="E79" t="inlineStr">
        <is>
          <t>KIRUNA</t>
        </is>
      </c>
      <c r="G79" t="n">
        <v>10.7</v>
      </c>
      <c r="H79" t="n">
        <v>0</v>
      </c>
      <c r="I79" t="n">
        <v>0</v>
      </c>
      <c r="J79" t="n">
        <v>0</v>
      </c>
      <c r="K79" t="n">
        <v>0</v>
      </c>
      <c r="L79" t="n">
        <v>0</v>
      </c>
      <c r="M79" t="n">
        <v>0</v>
      </c>
      <c r="N79" t="n">
        <v>0</v>
      </c>
      <c r="O79" t="n">
        <v>0</v>
      </c>
      <c r="P79" t="n">
        <v>0</v>
      </c>
      <c r="Q79" t="n">
        <v>0</v>
      </c>
      <c r="R79" s="2" t="inlineStr"/>
    </row>
    <row r="80" ht="15" customHeight="1">
      <c r="A80" t="inlineStr">
        <is>
          <t>A 20578-2025</t>
        </is>
      </c>
      <c r="B80" s="1" t="n">
        <v>45775</v>
      </c>
      <c r="C80" s="1" t="n">
        <v>46205</v>
      </c>
      <c r="D80" t="inlineStr">
        <is>
          <t>NORRBOTTENS LÄN</t>
        </is>
      </c>
      <c r="E80" t="inlineStr">
        <is>
          <t>KIRUNA</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5533-2024</t>
        </is>
      </c>
      <c r="B81" s="1" t="n">
        <v>45334</v>
      </c>
      <c r="C81" s="1" t="n">
        <v>46205</v>
      </c>
      <c r="D81" t="inlineStr">
        <is>
          <t>NORRBOTTENS LÄN</t>
        </is>
      </c>
      <c r="E81" t="inlineStr">
        <is>
          <t>KIRUNA</t>
        </is>
      </c>
      <c r="G81" t="n">
        <v>2.4</v>
      </c>
      <c r="H81" t="n">
        <v>0</v>
      </c>
      <c r="I81" t="n">
        <v>0</v>
      </c>
      <c r="J81" t="n">
        <v>0</v>
      </c>
      <c r="K81" t="n">
        <v>0</v>
      </c>
      <c r="L81" t="n">
        <v>0</v>
      </c>
      <c r="M81" t="n">
        <v>0</v>
      </c>
      <c r="N81" t="n">
        <v>0</v>
      </c>
      <c r="O81" t="n">
        <v>0</v>
      </c>
      <c r="P81" t="n">
        <v>0</v>
      </c>
      <c r="Q81" t="n">
        <v>0</v>
      </c>
      <c r="R81" s="2" t="inlineStr"/>
    </row>
    <row r="82" ht="15" customHeight="1">
      <c r="A82" t="inlineStr">
        <is>
          <t>A 56168-2023</t>
        </is>
      </c>
      <c r="B82" s="1" t="n">
        <v>45236</v>
      </c>
      <c r="C82" s="1" t="n">
        <v>46205</v>
      </c>
      <c r="D82" t="inlineStr">
        <is>
          <t>NORRBOTTENS LÄN</t>
        </is>
      </c>
      <c r="E82" t="inlineStr">
        <is>
          <t>KIRUNA</t>
        </is>
      </c>
      <c r="F82" t="inlineStr">
        <is>
          <t>Sveaskog</t>
        </is>
      </c>
      <c r="G82" t="n">
        <v>6.6</v>
      </c>
      <c r="H82" t="n">
        <v>0</v>
      </c>
      <c r="I82" t="n">
        <v>0</v>
      </c>
      <c r="J82" t="n">
        <v>0</v>
      </c>
      <c r="K82" t="n">
        <v>0</v>
      </c>
      <c r="L82" t="n">
        <v>0</v>
      </c>
      <c r="M82" t="n">
        <v>0</v>
      </c>
      <c r="N82" t="n">
        <v>0</v>
      </c>
      <c r="O82" t="n">
        <v>0</v>
      </c>
      <c r="P82" t="n">
        <v>0</v>
      </c>
      <c r="Q82" t="n">
        <v>0</v>
      </c>
      <c r="R82" s="2" t="inlineStr"/>
    </row>
    <row r="83" ht="15" customHeight="1">
      <c r="A83" t="inlineStr">
        <is>
          <t>A 8350-2025</t>
        </is>
      </c>
      <c r="B83" s="1" t="n">
        <v>45708</v>
      </c>
      <c r="C83" s="1" t="n">
        <v>46205</v>
      </c>
      <c r="D83" t="inlineStr">
        <is>
          <t>NORRBOTTENS LÄN</t>
        </is>
      </c>
      <c r="E83" t="inlineStr">
        <is>
          <t>KIRUNA</t>
        </is>
      </c>
      <c r="F83" t="inlineStr">
        <is>
          <t>Övriga statliga verk och myndigheter</t>
        </is>
      </c>
      <c r="G83" t="n">
        <v>0.8</v>
      </c>
      <c r="H83" t="n">
        <v>0</v>
      </c>
      <c r="I83" t="n">
        <v>0</v>
      </c>
      <c r="J83" t="n">
        <v>0</v>
      </c>
      <c r="K83" t="n">
        <v>0</v>
      </c>
      <c r="L83" t="n">
        <v>0</v>
      </c>
      <c r="M83" t="n">
        <v>0</v>
      </c>
      <c r="N83" t="n">
        <v>0</v>
      </c>
      <c r="O83" t="n">
        <v>0</v>
      </c>
      <c r="P83" t="n">
        <v>0</v>
      </c>
      <c r="Q83" t="n">
        <v>0</v>
      </c>
      <c r="R83" s="2" t="inlineStr"/>
    </row>
    <row r="84" ht="15" customHeight="1">
      <c r="A84" t="inlineStr">
        <is>
          <t>A 41127-2023</t>
        </is>
      </c>
      <c r="B84" s="1" t="n">
        <v>45173</v>
      </c>
      <c r="C84" s="1" t="n">
        <v>46205</v>
      </c>
      <c r="D84" t="inlineStr">
        <is>
          <t>NORRBOTTENS LÄN</t>
        </is>
      </c>
      <c r="E84" t="inlineStr">
        <is>
          <t>KIRUNA</t>
        </is>
      </c>
      <c r="F84" t="inlineStr">
        <is>
          <t>SCA</t>
        </is>
      </c>
      <c r="G84" t="n">
        <v>1.3</v>
      </c>
      <c r="H84" t="n">
        <v>0</v>
      </c>
      <c r="I84" t="n">
        <v>0</v>
      </c>
      <c r="J84" t="n">
        <v>0</v>
      </c>
      <c r="K84" t="n">
        <v>0</v>
      </c>
      <c r="L84" t="n">
        <v>0</v>
      </c>
      <c r="M84" t="n">
        <v>0</v>
      </c>
      <c r="N84" t="n">
        <v>0</v>
      </c>
      <c r="O84" t="n">
        <v>0</v>
      </c>
      <c r="P84" t="n">
        <v>0</v>
      </c>
      <c r="Q84" t="n">
        <v>0</v>
      </c>
      <c r="R84" s="2" t="inlineStr"/>
    </row>
    <row r="85">
      <c r="A85" t="inlineStr">
        <is>
          <t>A 20770-2025</t>
        </is>
      </c>
      <c r="B85" s="1" t="n">
        <v>45776</v>
      </c>
      <c r="C85" s="1" t="n">
        <v>46205</v>
      </c>
      <c r="D85" t="inlineStr">
        <is>
          <t>NORRBOTTENS LÄN</t>
        </is>
      </c>
      <c r="E85" t="inlineStr">
        <is>
          <t>KIRUNA</t>
        </is>
      </c>
      <c r="F85" t="inlineStr">
        <is>
          <t>Sveaskog</t>
        </is>
      </c>
      <c r="G85" t="n">
        <v>5.5</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2026-07-02T00:59:19Z</dcterms:created>
  <dcterms:modified xmlns:dcterms="http://purl.org/dc/terms/" xmlns:xsi="http://www.w3.org/2001/XMLSchema-instance" xsi:type="dcterms:W3CDTF">2026-07-02T00:59:19Z</dcterms:modified>
</cp:coreProperties>
</file>