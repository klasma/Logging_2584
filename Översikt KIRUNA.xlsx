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46318</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46318</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46318</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46318</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46318</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46318</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46318</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46318</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46318</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46318</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46318</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46318</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46318</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46318</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46318</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64829-2023</t>
        </is>
      </c>
      <c r="B17" t="inlineStr">
        <is>
          <t>avverkningsanmälan</t>
        </is>
      </c>
      <c r="C17" t="inlineStr">
        <is>
          <t>Avverkning för annat ändamål</t>
        </is>
      </c>
      <c r="D17" s="1" t="n">
        <v>45281</v>
      </c>
      <c r="E17" s="1" t="n">
        <v>46318</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22495-2024</t>
        </is>
      </c>
      <c r="B18" t="inlineStr">
        <is>
          <t>avverkningsanmälan</t>
        </is>
      </c>
      <c r="C18" t="inlineStr">
        <is>
          <t>Föryngringsavverkning</t>
        </is>
      </c>
      <c r="D18" s="1" t="n">
        <v>45447</v>
      </c>
      <c r="E18" s="1" t="n">
        <v>46318</v>
      </c>
      <c r="F18" t="inlineStr">
        <is>
          <t>NORRBOTTENS LÄN</t>
        </is>
      </c>
      <c r="G18" t="inlineStr">
        <is>
          <t>KIRUNA</t>
        </is>
      </c>
      <c r="I18" t="n">
        <v>7.1</v>
      </c>
      <c r="J18" t="n">
        <v>2</v>
      </c>
      <c r="K18" t="n">
        <v>0</v>
      </c>
      <c r="L18" t="n">
        <v>2</v>
      </c>
      <c r="M18" t="n">
        <v>1</v>
      </c>
      <c r="N18" t="n">
        <v>0</v>
      </c>
      <c r="O18" t="n">
        <v>0</v>
      </c>
      <c r="P18" t="n">
        <v>0</v>
      </c>
      <c r="Q18" t="n">
        <v>3</v>
      </c>
      <c r="R18" t="n">
        <v>1</v>
      </c>
      <c r="S18" t="n">
        <v>3</v>
      </c>
      <c r="T18" t="n">
        <v>3</v>
      </c>
      <c r="U18" t="n">
        <v>0</v>
      </c>
      <c r="V18" s="2" t="inlineStr">
        <is>
          <t>Tajgafältmätare
Blåhake
Lavskrika</t>
        </is>
      </c>
      <c r="W18">
        <f>HYPERLINK("https://klasma.github.io/Logging_2584/artfynd/A 22495-2024 artfynd.xlsx", "A 22495-2024")</f>
        <v/>
      </c>
      <c r="X18">
        <f>HYPERLINK("https://klasma.github.io/Logging_2584/kartor/A 22495-2024 karta.png", "A 22495-2024")</f>
        <v/>
      </c>
      <c r="Y18">
        <f>HYPERLINK("https://klasma.github.io/Logging_2584/kartor_geotiff/A 22495-2024 georefererad karta.tif", "A 22495-2024")</f>
        <v/>
      </c>
      <c r="AA18">
        <f>HYPERLINK("https://klasma.github.io/Logging_2584/klagomål/A 22495-2024 FSC-klagomål.docx", "A 22495-2024")</f>
        <v/>
      </c>
      <c r="AB18">
        <f>HYPERLINK("https://klasma.github.io/Logging_2584/klagomålsmail/A 22495-2024 FSC-klagomål mail.docx", "A 22495-2024")</f>
        <v/>
      </c>
      <c r="AC18">
        <f>HYPERLINK("https://klasma.github.io/Logging_2584/tillsyn/A 22495-2024 tillsynsbegäran.docx", "A 22495-2024")</f>
        <v/>
      </c>
      <c r="AD18">
        <f>HYPERLINK("https://klasma.github.io/Logging_2584/tillsynsmail/A 22495-2024 tillsynsbegäran mail.docx", "A 22495-2024")</f>
        <v/>
      </c>
      <c r="AE18">
        <f>HYPERLINK("https://klasma.github.io/Logging_2584/fåglar/A 22495-2024 prioriterade fågelarter.docx", "A 22495-2024")</f>
        <v/>
      </c>
    </row>
    <row r="19" ht="15" customHeight="1">
      <c r="A19" t="inlineStr">
        <is>
          <t>A 21183-2025</t>
        </is>
      </c>
      <c r="B19" t="inlineStr">
        <is>
          <t>avverkningsanmälan</t>
        </is>
      </c>
      <c r="C19" t="inlineStr">
        <is>
          <t>Föryngringsavverkning</t>
        </is>
      </c>
      <c r="D19" s="1" t="n">
        <v>45779</v>
      </c>
      <c r="E19" s="1" t="n">
        <v>46318</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20780-2025</t>
        </is>
      </c>
      <c r="B20" t="inlineStr">
        <is>
          <t>avverkningsanmälan</t>
        </is>
      </c>
      <c r="C20" t="inlineStr">
        <is>
          <t>Föryngringsavverkning</t>
        </is>
      </c>
      <c r="D20" s="1" t="n">
        <v>45776</v>
      </c>
      <c r="E20" s="1" t="n">
        <v>46318</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46318</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46318</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46318</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46318</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46318</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5842-2023</t>
        </is>
      </c>
      <c r="B26" t="inlineStr">
        <is>
          <t>avverkningsanmälan</t>
        </is>
      </c>
      <c r="C26" t="inlineStr">
        <is>
          <t>Avverkning för annat ändamål</t>
        </is>
      </c>
      <c r="D26" s="1" t="n">
        <v>44958</v>
      </c>
      <c r="E26" s="1" t="n">
        <v>46318</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2660-2026</t>
        </is>
      </c>
      <c r="B27" t="inlineStr">
        <is>
          <t>avverkningsanmälan</t>
        </is>
      </c>
      <c r="C27" t="inlineStr">
        <is>
          <t>Föryngringsavverkning</t>
        </is>
      </c>
      <c r="D27" s="1" t="n">
        <v>46037</v>
      </c>
      <c r="E27" s="1" t="n">
        <v>46318</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4367-2024</t>
        </is>
      </c>
      <c r="B28" t="inlineStr">
        <is>
          <t>avverkningsanmälan</t>
        </is>
      </c>
      <c r="C28" t="inlineStr">
        <is>
          <t>Föryngringsavverkning</t>
        </is>
      </c>
      <c r="D28" s="1" t="n">
        <v>45326</v>
      </c>
      <c r="E28" s="1" t="n">
        <v>46318</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61066-2024</t>
        </is>
      </c>
      <c r="B29" t="inlineStr">
        <is>
          <t>avverkningsanmälan</t>
        </is>
      </c>
      <c r="C29" t="inlineStr">
        <is>
          <t>Föryngringsavverkning</t>
        </is>
      </c>
      <c r="D29" s="1" t="n">
        <v>45645</v>
      </c>
      <c r="E29" s="1" t="n">
        <v>46318</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60064-2023</t>
        </is>
      </c>
      <c r="B30" t="inlineStr">
        <is>
          <t>avverkningsanmälan</t>
        </is>
      </c>
      <c r="C30" t="inlineStr">
        <is>
          <t>Föryngringsavverkning</t>
        </is>
      </c>
      <c r="D30" s="1" t="n">
        <v>45258</v>
      </c>
      <c r="E30" s="1" t="n">
        <v>46318</v>
      </c>
      <c r="F30" t="inlineStr">
        <is>
          <t>NORRBOTTENS LÄN</t>
        </is>
      </c>
      <c r="G30" t="inlineStr">
        <is>
          <t>KIRUNA</t>
        </is>
      </c>
      <c r="I30" t="n">
        <v>19.8</v>
      </c>
      <c r="J30" t="n">
        <v>1</v>
      </c>
      <c r="K30" t="n">
        <v>0</v>
      </c>
      <c r="L30" t="n">
        <v>0</v>
      </c>
      <c r="M30" t="n">
        <v>0</v>
      </c>
      <c r="N30" t="n">
        <v>0</v>
      </c>
      <c r="O30" t="n">
        <v>0</v>
      </c>
      <c r="P30" t="n">
        <v>0</v>
      </c>
      <c r="Q30" t="n">
        <v>0</v>
      </c>
      <c r="R30" t="n">
        <v>0</v>
      </c>
      <c r="S30" t="n">
        <v>1</v>
      </c>
      <c r="T30" t="n">
        <v>2</v>
      </c>
      <c r="U30" t="n">
        <v>2</v>
      </c>
      <c r="V30" s="2" t="inlineStr">
        <is>
          <t>Tjäder</t>
        </is>
      </c>
      <c r="W30">
        <f>HYPERLINK("https://klasma.github.io/Logging_2584/artfynd/A 60064-2023 artfynd.xlsx", "A 60064-2023")</f>
        <v/>
      </c>
      <c r="X30">
        <f>HYPERLINK("https://klasma.github.io/Logging_2584/kartor/A 60064-2023 karta.png", "A 60064-2023")</f>
        <v/>
      </c>
      <c r="Y30">
        <f>HYPERLINK("https://klasma.github.io/Logging_2584/kartor_geotiff/A 60064-2023 georefererad karta.tif", "A 60064-2023")</f>
        <v/>
      </c>
      <c r="AA30">
        <f>HYPERLINK("https://klasma.github.io/Logging_2584/klagomål/A 60064-2023 FSC-klagomål.docx", "A 60064-2023")</f>
        <v/>
      </c>
      <c r="AB30">
        <f>HYPERLINK("https://klasma.github.io/Logging_2584/klagomålsmail/A 60064-2023 FSC-klagomål mail.docx", "A 60064-2023")</f>
        <v/>
      </c>
      <c r="AC30">
        <f>HYPERLINK("https://klasma.github.io/Logging_2584/tillsyn/A 60064-2023 tillsynsbegäran.docx", "A 60064-2023")</f>
        <v/>
      </c>
      <c r="AD30">
        <f>HYPERLINK("https://klasma.github.io/Logging_2584/tillsynsmail/A 60064-2023 tillsynsbegäran mail.docx", "A 60064-2023")</f>
        <v/>
      </c>
      <c r="AE30">
        <f>HYPERLINK("https://klasma.github.io/Logging_2584/fåglar/A 60064-2023 prioriterade fågelarter.docx", "A 60064-2023")</f>
        <v/>
      </c>
    </row>
    <row r="31" ht="15" customHeight="1">
      <c r="A31" t="inlineStr">
        <is>
          <t>A 16024-2024</t>
        </is>
      </c>
      <c r="B31" t="inlineStr">
        <is>
          <t>avverkningsanmälan</t>
        </is>
      </c>
      <c r="C31" t="inlineStr">
        <is>
          <t>Föryngringsavverkning</t>
        </is>
      </c>
      <c r="D31" s="1" t="n">
        <v>45405</v>
      </c>
      <c r="E31" s="1" t="n">
        <v>46318</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46318</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46318</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46318</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46318</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9069-2023</t>
        </is>
      </c>
      <c r="B36" t="inlineStr">
        <is>
          <t>avverkningsanmälan</t>
        </is>
      </c>
      <c r="C36" t="inlineStr">
        <is>
          <t>Föryngringsavverkning</t>
        </is>
      </c>
      <c r="D36" s="1" t="n">
        <v>44979</v>
      </c>
      <c r="E36" s="1" t="n">
        <v>46318</v>
      </c>
      <c r="F36" t="inlineStr">
        <is>
          <t>NORRBOTTENS LÄN</t>
        </is>
      </c>
      <c r="G36" t="inlineStr">
        <is>
          <t>KIRUNA</t>
        </is>
      </c>
      <c r="H36" t="inlineStr">
        <is>
          <t>SCA</t>
        </is>
      </c>
      <c r="I36" t="n">
        <v>4</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46318</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39006-2023</t>
        </is>
      </c>
      <c r="B38" t="inlineStr">
        <is>
          <t>avverkningsanmälan</t>
        </is>
      </c>
      <c r="C38" t="inlineStr">
        <is>
          <t>Avverkning för annat ändamål</t>
        </is>
      </c>
      <c r="D38" s="1" t="n">
        <v>45162</v>
      </c>
      <c r="E38" s="1" t="n">
        <v>46318</v>
      </c>
      <c r="F38" t="inlineStr">
        <is>
          <t>NORRBOTTENS LÄN</t>
        </is>
      </c>
      <c r="G38" t="inlineStr">
        <is>
          <t>KIRUNA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39247-2023</t>
        </is>
      </c>
      <c r="B39" t="inlineStr">
        <is>
          <t>avverkningsanmälan</t>
        </is>
      </c>
      <c r="C39" t="inlineStr">
        <is>
          <t>Föryngringsavverkning</t>
        </is>
      </c>
      <c r="D39" s="1" t="n">
        <v>45162</v>
      </c>
      <c r="E39" s="1" t="n">
        <v>46318</v>
      </c>
      <c r="F39" t="inlineStr">
        <is>
          <t>NORRBOTTENS LÄN</t>
        </is>
      </c>
      <c r="G39" t="inlineStr">
        <is>
          <t>KIRUNA</t>
        </is>
      </c>
      <c r="I39" t="n">
        <v>11.7</v>
      </c>
      <c r="J39" t="n">
        <v>0</v>
      </c>
      <c r="K39" t="n">
        <v>0</v>
      </c>
      <c r="L39" t="n">
        <v>0</v>
      </c>
      <c r="M39" t="n">
        <v>0</v>
      </c>
      <c r="N39" t="n">
        <v>0</v>
      </c>
      <c r="O39" t="n">
        <v>0</v>
      </c>
      <c r="P39" t="n">
        <v>0</v>
      </c>
      <c r="Q39" t="n">
        <v>0</v>
      </c>
      <c r="R39" t="n">
        <v>0</v>
      </c>
      <c r="S39" t="n">
        <v>0</v>
      </c>
      <c r="T39" t="n">
        <v>0</v>
      </c>
      <c r="U39" t="n">
        <v>0</v>
      </c>
      <c r="V39" s="2" t="inlineStr"/>
    </row>
    <row r="40" ht="15" customHeight="1">
      <c r="A40" t="inlineStr">
        <is>
          <t>A 20744-2024</t>
        </is>
      </c>
      <c r="B40" t="inlineStr">
        <is>
          <t>avverkningsanmälan</t>
        </is>
      </c>
      <c r="C40" t="inlineStr">
        <is>
          <t>Föryngringsavverkning</t>
        </is>
      </c>
      <c r="D40" s="1" t="n">
        <v>45436</v>
      </c>
      <c r="E40" s="1" t="n">
        <v>46318</v>
      </c>
      <c r="F40" t="inlineStr">
        <is>
          <t>NORRBOTTENS LÄN</t>
        </is>
      </c>
      <c r="G40" t="inlineStr">
        <is>
          <t>KIRUNA</t>
        </is>
      </c>
      <c r="I40" t="n">
        <v>9.699999999999999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34663-2025</t>
        </is>
      </c>
      <c r="B41" t="inlineStr">
        <is>
          <t>avverkningsanmälan</t>
        </is>
      </c>
      <c r="C41" t="inlineStr">
        <is>
          <t>Föryngringsavverkning</t>
        </is>
      </c>
      <c r="D41" s="1" t="n">
        <v>45848</v>
      </c>
      <c r="E41" s="1" t="n">
        <v>46318</v>
      </c>
      <c r="F41" t="inlineStr">
        <is>
          <t>NORRBOTTENS LÄN</t>
        </is>
      </c>
      <c r="G41" t="inlineStr">
        <is>
          <t>KIRUNA</t>
        </is>
      </c>
      <c r="I41" t="n">
        <v>5.1</v>
      </c>
      <c r="J41" t="n">
        <v>0</v>
      </c>
      <c r="K41" t="n">
        <v>0</v>
      </c>
      <c r="L41" t="n">
        <v>0</v>
      </c>
      <c r="M41" t="n">
        <v>0</v>
      </c>
      <c r="N41" t="n">
        <v>0</v>
      </c>
      <c r="O41" t="n">
        <v>0</v>
      </c>
      <c r="P41" t="n">
        <v>0</v>
      </c>
      <c r="Q41" t="n">
        <v>0</v>
      </c>
      <c r="R41" t="n">
        <v>0</v>
      </c>
      <c r="S41" t="n">
        <v>0</v>
      </c>
      <c r="T41" t="n">
        <v>0</v>
      </c>
      <c r="U41" t="n">
        <v>0</v>
      </c>
      <c r="V41" s="2" t="inlineStr"/>
    </row>
    <row r="42" ht="15" customHeight="1">
      <c r="A42" t="inlineStr">
        <is>
          <t>A 34664-2025</t>
        </is>
      </c>
      <c r="B42" t="inlineStr">
        <is>
          <t>avverkningsanmälan</t>
        </is>
      </c>
      <c r="C42" t="inlineStr">
        <is>
          <t>Föryngringsavverkning</t>
        </is>
      </c>
      <c r="D42" s="1" t="n">
        <v>45848</v>
      </c>
      <c r="E42" s="1" t="n">
        <v>46318</v>
      </c>
      <c r="F42" t="inlineStr">
        <is>
          <t>NORRBOTTENS LÄN</t>
        </is>
      </c>
      <c r="G42" t="inlineStr">
        <is>
          <t>KIRUNA</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18737-2023</t>
        </is>
      </c>
      <c r="B43" t="inlineStr">
        <is>
          <t>avverkningsanmälan</t>
        </is>
      </c>
      <c r="C43" t="inlineStr">
        <is>
          <t>Avverkning för annat ändamål</t>
        </is>
      </c>
      <c r="D43" s="1" t="n">
        <v>45042</v>
      </c>
      <c r="E43" s="1" t="n">
        <v>46318</v>
      </c>
      <c r="F43" t="inlineStr">
        <is>
          <t>NORRBOTTENS LÄN</t>
        </is>
      </c>
      <c r="G43" t="inlineStr">
        <is>
          <t>KIRUNA</t>
        </is>
      </c>
      <c r="H43" t="inlineStr">
        <is>
          <t>Sveaskog</t>
        </is>
      </c>
      <c r="I43" t="n">
        <v>10.7</v>
      </c>
      <c r="J43" t="n">
        <v>0</v>
      </c>
      <c r="K43" t="n">
        <v>0</v>
      </c>
      <c r="L43" t="n">
        <v>0</v>
      </c>
      <c r="M43" t="n">
        <v>0</v>
      </c>
      <c r="N43" t="n">
        <v>0</v>
      </c>
      <c r="O43" t="n">
        <v>0</v>
      </c>
      <c r="P43" t="n">
        <v>0</v>
      </c>
      <c r="Q43" t="n">
        <v>0</v>
      </c>
      <c r="R43" t="n">
        <v>0</v>
      </c>
      <c r="S43" t="n">
        <v>0</v>
      </c>
      <c r="T43" t="n">
        <v>0</v>
      </c>
      <c r="U43" t="n">
        <v>0</v>
      </c>
      <c r="V43" s="2" t="inlineStr"/>
    </row>
    <row r="44" ht="15" customHeight="1">
      <c r="A44" t="inlineStr">
        <is>
          <t>A 8350-2025</t>
        </is>
      </c>
      <c r="B44" t="inlineStr">
        <is>
          <t>avverkningsanmälan</t>
        </is>
      </c>
      <c r="C44" t="inlineStr">
        <is>
          <t>Avverkning för annat ändamål</t>
        </is>
      </c>
      <c r="D44" s="1" t="n">
        <v>45708</v>
      </c>
      <c r="E44" s="1" t="n">
        <v>46318</v>
      </c>
      <c r="F44" t="inlineStr">
        <is>
          <t>NORRBOTTENS LÄN</t>
        </is>
      </c>
      <c r="G44" t="inlineStr">
        <is>
          <t>KIRUNA</t>
        </is>
      </c>
      <c r="H44" t="inlineStr">
        <is>
          <t>Övriga statliga verk och myndigheter</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46318</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22504-2024</t>
        </is>
      </c>
      <c r="B46" t="inlineStr">
        <is>
          <t>avverkningsanmälan</t>
        </is>
      </c>
      <c r="C46" t="inlineStr">
        <is>
          <t>Föryngringsavverkning</t>
        </is>
      </c>
      <c r="D46" s="1" t="n">
        <v>45447</v>
      </c>
      <c r="E46" s="1" t="n">
        <v>46318</v>
      </c>
      <c r="F46" t="inlineStr">
        <is>
          <t>NORRBOTTENS LÄN</t>
        </is>
      </c>
      <c r="G46" t="inlineStr">
        <is>
          <t>KIRUNA</t>
        </is>
      </c>
      <c r="I46" t="n">
        <v>15.6</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46318</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62452-2022</t>
        </is>
      </c>
      <c r="B48" t="inlineStr">
        <is>
          <t>avverkningsanmälan</t>
        </is>
      </c>
      <c r="C48" t="inlineStr">
        <is>
          <t>Föryngringsavverkning</t>
        </is>
      </c>
      <c r="D48" s="1" t="n">
        <v>44916</v>
      </c>
      <c r="E48" s="1" t="n">
        <v>46318</v>
      </c>
      <c r="F48" t="inlineStr">
        <is>
          <t>NORRBOTTENS LÄN</t>
        </is>
      </c>
      <c r="G48" t="inlineStr">
        <is>
          <t>KIRUNA</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46318</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46318</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38577-2024</t>
        </is>
      </c>
      <c r="B51" t="inlineStr">
        <is>
          <t>avverkningsanmälan</t>
        </is>
      </c>
      <c r="C51" t="inlineStr">
        <is>
          <t>Föryngringsavverkning</t>
        </is>
      </c>
      <c r="D51" s="1" t="n">
        <v>45546</v>
      </c>
      <c r="E51" s="1" t="n">
        <v>46318</v>
      </c>
      <c r="F51" t="inlineStr">
        <is>
          <t>NORRBOTTENS LÄN</t>
        </is>
      </c>
      <c r="G51" t="inlineStr">
        <is>
          <t>KIRUNA</t>
        </is>
      </c>
      <c r="I51" t="n">
        <v>39.8</v>
      </c>
      <c r="J51" t="n">
        <v>0</v>
      </c>
      <c r="K51" t="n">
        <v>0</v>
      </c>
      <c r="L51" t="n">
        <v>0</v>
      </c>
      <c r="M51" t="n">
        <v>0</v>
      </c>
      <c r="N51" t="n">
        <v>0</v>
      </c>
      <c r="O51" t="n">
        <v>0</v>
      </c>
      <c r="P51" t="n">
        <v>0</v>
      </c>
      <c r="Q51" t="n">
        <v>0</v>
      </c>
      <c r="R51" t="n">
        <v>0</v>
      </c>
      <c r="S51" t="n">
        <v>0</v>
      </c>
      <c r="T51" t="n">
        <v>0</v>
      </c>
      <c r="U51" t="n">
        <v>0</v>
      </c>
      <c r="V51" s="2" t="inlineStr"/>
    </row>
    <row r="52" ht="15" customHeight="1">
      <c r="A52" t="inlineStr">
        <is>
          <t>A 23469-2022</t>
        </is>
      </c>
      <c r="B52" t="inlineStr">
        <is>
          <t>avverkningsanmälan</t>
        </is>
      </c>
      <c r="C52" t="inlineStr">
        <is>
          <t>Föryngringsavverkning</t>
        </is>
      </c>
      <c r="D52" s="1" t="n">
        <v>44721</v>
      </c>
      <c r="E52" s="1" t="n">
        <v>46318</v>
      </c>
      <c r="F52" t="inlineStr">
        <is>
          <t>NORRBOTTENS LÄN</t>
        </is>
      </c>
      <c r="G52" t="inlineStr">
        <is>
          <t>KIRUNA</t>
        </is>
      </c>
      <c r="I52" t="n">
        <v>11.8</v>
      </c>
      <c r="J52" t="n">
        <v>0</v>
      </c>
      <c r="K52" t="n">
        <v>0</v>
      </c>
      <c r="L52" t="n">
        <v>0</v>
      </c>
      <c r="M52" t="n">
        <v>0</v>
      </c>
      <c r="N52" t="n">
        <v>0</v>
      </c>
      <c r="O52" t="n">
        <v>0</v>
      </c>
      <c r="P52" t="n">
        <v>0</v>
      </c>
      <c r="Q52" t="n">
        <v>0</v>
      </c>
      <c r="R52" t="n">
        <v>0</v>
      </c>
      <c r="S52" t="n">
        <v>0</v>
      </c>
      <c r="T52" t="n">
        <v>0</v>
      </c>
      <c r="U52" t="n">
        <v>0</v>
      </c>
      <c r="V52" s="2" t="inlineStr"/>
    </row>
    <row r="53" ht="15" customHeight="1">
      <c r="A53" t="inlineStr">
        <is>
          <t>A 18738-2022</t>
        </is>
      </c>
      <c r="B53" t="inlineStr">
        <is>
          <t>avverkningsanmälan</t>
        </is>
      </c>
      <c r="C53" t="inlineStr">
        <is>
          <t>Avverkning för annat ändamål</t>
        </is>
      </c>
      <c r="D53" s="1" t="n">
        <v>44687</v>
      </c>
      <c r="E53" s="1" t="n">
        <v>46318</v>
      </c>
      <c r="F53" t="inlineStr">
        <is>
          <t>NORRBOTTENS LÄN</t>
        </is>
      </c>
      <c r="G53" t="inlineStr">
        <is>
          <t>KIRUNA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36939-2022</t>
        </is>
      </c>
      <c r="B54" t="inlineStr">
        <is>
          <t>avverkningsanmälan</t>
        </is>
      </c>
      <c r="C54" t="inlineStr">
        <is>
          <t>Avverkning för annat ändamål</t>
        </is>
      </c>
      <c r="D54" s="1" t="n">
        <v>44805</v>
      </c>
      <c r="E54" s="1" t="n">
        <v>46318</v>
      </c>
      <c r="F54" t="inlineStr">
        <is>
          <t>NORRBOTTENS LÄN</t>
        </is>
      </c>
      <c r="G54" t="inlineStr">
        <is>
          <t>KIRUNA</t>
        </is>
      </c>
      <c r="I54" t="n">
        <v>3.1</v>
      </c>
      <c r="J54" t="n">
        <v>0</v>
      </c>
      <c r="K54" t="n">
        <v>0</v>
      </c>
      <c r="L54" t="n">
        <v>0</v>
      </c>
      <c r="M54" t="n">
        <v>0</v>
      </c>
      <c r="N54" t="n">
        <v>0</v>
      </c>
      <c r="O54" t="n">
        <v>0</v>
      </c>
      <c r="P54" t="n">
        <v>0</v>
      </c>
      <c r="Q54" t="n">
        <v>0</v>
      </c>
      <c r="R54" t="n">
        <v>0</v>
      </c>
      <c r="S54" t="n">
        <v>0</v>
      </c>
      <c r="T54" t="n">
        <v>0</v>
      </c>
      <c r="U54" t="n">
        <v>0</v>
      </c>
      <c r="V54" s="2" t="inlineStr"/>
    </row>
    <row r="55" ht="15" customHeight="1">
      <c r="A55" t="inlineStr">
        <is>
          <t>A 5476-2024</t>
        </is>
      </c>
      <c r="B55" t="inlineStr">
        <is>
          <t>avverkningsanmälan</t>
        </is>
      </c>
      <c r="C55" t="inlineStr">
        <is>
          <t>Föryngringsavverkning</t>
        </is>
      </c>
      <c r="D55" s="1" t="n">
        <v>45333</v>
      </c>
      <c r="E55" s="1" t="n">
        <v>46318</v>
      </c>
      <c r="F55" t="inlineStr">
        <is>
          <t>NORRBOTTENS LÄN</t>
        </is>
      </c>
      <c r="G55" t="inlineStr">
        <is>
          <t>KIRUNA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34693-2022</t>
        </is>
      </c>
      <c r="B56" t="inlineStr">
        <is>
          <t>avverkningsanmälan</t>
        </is>
      </c>
      <c r="C56" t="inlineStr">
        <is>
          <t>Föryngringsavverkning</t>
        </is>
      </c>
      <c r="D56" s="1" t="n">
        <v>44795</v>
      </c>
      <c r="E56" s="1" t="n">
        <v>46318</v>
      </c>
      <c r="F56" t="inlineStr">
        <is>
          <t>NORRBOTTENS LÄN</t>
        </is>
      </c>
      <c r="G56" t="inlineStr">
        <is>
          <t>KIRUNA</t>
        </is>
      </c>
      <c r="I56" t="n">
        <v>12.3</v>
      </c>
      <c r="J56" t="n">
        <v>0</v>
      </c>
      <c r="K56" t="n">
        <v>0</v>
      </c>
      <c r="L56" t="n">
        <v>0</v>
      </c>
      <c r="M56" t="n">
        <v>0</v>
      </c>
      <c r="N56" t="n">
        <v>0</v>
      </c>
      <c r="O56" t="n">
        <v>0</v>
      </c>
      <c r="P56" t="n">
        <v>0</v>
      </c>
      <c r="Q56" t="n">
        <v>0</v>
      </c>
      <c r="R56" t="n">
        <v>0</v>
      </c>
      <c r="S56" t="n">
        <v>0</v>
      </c>
      <c r="T56" t="n">
        <v>0</v>
      </c>
      <c r="U56" t="n">
        <v>0</v>
      </c>
      <c r="V56" s="2" t="inlineStr"/>
    </row>
    <row r="57" ht="15" customHeight="1">
      <c r="A57" t="inlineStr">
        <is>
          <t>A 22491-2024</t>
        </is>
      </c>
      <c r="B57" t="inlineStr">
        <is>
          <t>avverkningsanmälan</t>
        </is>
      </c>
      <c r="C57" t="inlineStr">
        <is>
          <t>Föryngringsavverkning</t>
        </is>
      </c>
      <c r="D57" s="1" t="n">
        <v>45447</v>
      </c>
      <c r="E57" s="1" t="n">
        <v>46318</v>
      </c>
      <c r="F57" t="inlineStr">
        <is>
          <t>NORRBOTTENS LÄN</t>
        </is>
      </c>
      <c r="G57" t="inlineStr">
        <is>
          <t>KIRUNA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148-2026</t>
        </is>
      </c>
      <c r="B58" t="inlineStr">
        <is>
          <t>avverkningsanmälan</t>
        </is>
      </c>
      <c r="C58" t="inlineStr">
        <is>
          <t>Föryngringsavverkning</t>
        </is>
      </c>
      <c r="D58" s="1" t="n">
        <v>46024</v>
      </c>
      <c r="E58" s="1" t="n">
        <v>46318</v>
      </c>
      <c r="F58" t="inlineStr">
        <is>
          <t>NORRBOTTENS LÄN</t>
        </is>
      </c>
      <c r="G58" t="inlineStr">
        <is>
          <t>KIRUNA</t>
        </is>
      </c>
      <c r="I58" t="n">
        <v>10.2</v>
      </c>
      <c r="J58" t="n">
        <v>0</v>
      </c>
      <c r="K58" t="n">
        <v>0</v>
      </c>
      <c r="L58" t="n">
        <v>0</v>
      </c>
      <c r="M58" t="n">
        <v>0</v>
      </c>
      <c r="N58" t="n">
        <v>0</v>
      </c>
      <c r="O58" t="n">
        <v>0</v>
      </c>
      <c r="P58" t="n">
        <v>0</v>
      </c>
      <c r="Q58" t="n">
        <v>0</v>
      </c>
      <c r="R58" t="n">
        <v>0</v>
      </c>
      <c r="S58" t="n">
        <v>0</v>
      </c>
      <c r="T58" t="n">
        <v>0</v>
      </c>
      <c r="U58" t="n">
        <v>0</v>
      </c>
      <c r="V58" s="2" t="inlineStr"/>
    </row>
    <row r="59" ht="15" customHeight="1">
      <c r="A59" t="inlineStr">
        <is>
          <t>A 41127-2023</t>
        </is>
      </c>
      <c r="B59" t="inlineStr">
        <is>
          <t>avverkningsanmälan</t>
        </is>
      </c>
      <c r="C59" t="inlineStr">
        <is>
          <t>Avverkning för annat ändamål</t>
        </is>
      </c>
      <c r="D59" s="1" t="n">
        <v>45173</v>
      </c>
      <c r="E59" s="1" t="n">
        <v>46318</v>
      </c>
      <c r="F59" t="inlineStr">
        <is>
          <t>NORRBOTTENS LÄN</t>
        </is>
      </c>
      <c r="G59" t="inlineStr">
        <is>
          <t>KIRUNA</t>
        </is>
      </c>
      <c r="H59" t="inlineStr">
        <is>
          <t>SCA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18721-2024</t>
        </is>
      </c>
      <c r="B60" t="inlineStr">
        <is>
          <t>avverkningsanmälan</t>
        </is>
      </c>
      <c r="C60" t="inlineStr">
        <is>
          <t>Föryngringsavverkning</t>
        </is>
      </c>
      <c r="D60" s="1" t="n">
        <v>45426</v>
      </c>
      <c r="E60" s="1" t="n">
        <v>46318</v>
      </c>
      <c r="F60" t="inlineStr">
        <is>
          <t>NORRBOTTENS LÄN</t>
        </is>
      </c>
      <c r="G60" t="inlineStr">
        <is>
          <t>KIRUNA</t>
        </is>
      </c>
      <c r="I60" t="n">
        <v>62.1</v>
      </c>
      <c r="J60" t="n">
        <v>0</v>
      </c>
      <c r="K60" t="n">
        <v>0</v>
      </c>
      <c r="L60" t="n">
        <v>0</v>
      </c>
      <c r="M60" t="n">
        <v>0</v>
      </c>
      <c r="N60" t="n">
        <v>0</v>
      </c>
      <c r="O60" t="n">
        <v>0</v>
      </c>
      <c r="P60" t="n">
        <v>0</v>
      </c>
      <c r="Q60" t="n">
        <v>0</v>
      </c>
      <c r="R60" t="n">
        <v>0</v>
      </c>
      <c r="S60" t="n">
        <v>0</v>
      </c>
      <c r="T60" t="n">
        <v>0</v>
      </c>
      <c r="U60" t="n">
        <v>0</v>
      </c>
      <c r="V60" s="2" t="inlineStr"/>
    </row>
    <row r="61" ht="15" customHeight="1">
      <c r="A61" t="inlineStr">
        <is>
          <t>A 2664-2026</t>
        </is>
      </c>
      <c r="B61" t="inlineStr">
        <is>
          <t>avverkningsanmälan</t>
        </is>
      </c>
      <c r="C61" t="inlineStr">
        <is>
          <t>Föryngringsavverkning</t>
        </is>
      </c>
      <c r="D61" s="1" t="n">
        <v>46037</v>
      </c>
      <c r="E61" s="1" t="n">
        <v>46318</v>
      </c>
      <c r="F61" t="inlineStr">
        <is>
          <t>NORRBOTTENS LÄN</t>
        </is>
      </c>
      <c r="G61" t="inlineStr">
        <is>
          <t>KIRUNA</t>
        </is>
      </c>
      <c r="I61" t="n">
        <v>31.3</v>
      </c>
      <c r="J61" t="n">
        <v>0</v>
      </c>
      <c r="K61" t="n">
        <v>0</v>
      </c>
      <c r="L61" t="n">
        <v>0</v>
      </c>
      <c r="M61" t="n">
        <v>0</v>
      </c>
      <c r="N61" t="n">
        <v>0</v>
      </c>
      <c r="O61" t="n">
        <v>0</v>
      </c>
      <c r="P61" t="n">
        <v>0</v>
      </c>
      <c r="Q61" t="n">
        <v>0</v>
      </c>
      <c r="R61" t="n">
        <v>0</v>
      </c>
      <c r="S61" t="n">
        <v>0</v>
      </c>
      <c r="T61" t="n">
        <v>0</v>
      </c>
      <c r="U61" t="n">
        <v>0</v>
      </c>
      <c r="V61" s="2" t="inlineStr"/>
    </row>
    <row r="62" ht="15" customHeight="1">
      <c r="A62" t="inlineStr">
        <is>
          <t>A 13526-2024</t>
        </is>
      </c>
      <c r="B62" t="inlineStr">
        <is>
          <t>avverkningsanmälan</t>
        </is>
      </c>
      <c r="C62" t="inlineStr">
        <is>
          <t>Föryngringsavverkning</t>
        </is>
      </c>
      <c r="D62" s="1" t="n">
        <v>45387</v>
      </c>
      <c r="E62" s="1" t="n">
        <v>46318</v>
      </c>
      <c r="F62" t="inlineStr">
        <is>
          <t>NORRBOTTENS LÄN</t>
        </is>
      </c>
      <c r="G62" t="inlineStr">
        <is>
          <t>KIRUNA</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62439-2022</t>
        </is>
      </c>
      <c r="B63" t="inlineStr">
        <is>
          <t>avverkningsanmälan</t>
        </is>
      </c>
      <c r="C63" t="inlineStr">
        <is>
          <t>Föryngringsavverkning</t>
        </is>
      </c>
      <c r="D63" s="1" t="n">
        <v>44916</v>
      </c>
      <c r="E63" s="1" t="n">
        <v>46318</v>
      </c>
      <c r="F63" t="inlineStr">
        <is>
          <t>NORRBOTTENS LÄN</t>
        </is>
      </c>
      <c r="G63" t="inlineStr">
        <is>
          <t>KIRUNA</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13405-2026</t>
        </is>
      </c>
      <c r="B64" t="inlineStr">
        <is>
          <t>avverkningsanmälan</t>
        </is>
      </c>
      <c r="C64" t="inlineStr">
        <is>
          <t>Föryngringsavverkning</t>
        </is>
      </c>
      <c r="D64" s="1" t="n">
        <v>46094</v>
      </c>
      <c r="E64" s="1" t="n">
        <v>46318</v>
      </c>
      <c r="F64" t="inlineStr">
        <is>
          <t>NORRBOTTENS LÄN</t>
        </is>
      </c>
      <c r="G64" t="inlineStr">
        <is>
          <t>KIRUNA</t>
        </is>
      </c>
      <c r="I64" t="n">
        <v>24.5</v>
      </c>
      <c r="J64" t="n">
        <v>0</v>
      </c>
      <c r="K64" t="n">
        <v>0</v>
      </c>
      <c r="L64" t="n">
        <v>0</v>
      </c>
      <c r="M64" t="n">
        <v>0</v>
      </c>
      <c r="N64" t="n">
        <v>0</v>
      </c>
      <c r="O64" t="n">
        <v>0</v>
      </c>
      <c r="P64" t="n">
        <v>0</v>
      </c>
      <c r="Q64" t="n">
        <v>0</v>
      </c>
      <c r="R64" t="n">
        <v>0</v>
      </c>
      <c r="S64" t="n">
        <v>0</v>
      </c>
      <c r="T64" t="n">
        <v>0</v>
      </c>
      <c r="U64" t="n">
        <v>0</v>
      </c>
      <c r="V64" s="2" t="inlineStr"/>
    </row>
    <row r="65" ht="15" customHeight="1">
      <c r="A65" t="inlineStr">
        <is>
          <t>A 37993-2026</t>
        </is>
      </c>
      <c r="B65" t="inlineStr">
        <is>
          <t>avverkningsanmälan</t>
        </is>
      </c>
      <c r="C65" t="inlineStr">
        <is>
          <t>Föryngringsavverkning</t>
        </is>
      </c>
      <c r="D65" s="1" t="n">
        <v>46280</v>
      </c>
      <c r="E65" s="1" t="n">
        <v>46318</v>
      </c>
      <c r="F65" t="inlineStr">
        <is>
          <t>NORRBOTTENS LÄN</t>
        </is>
      </c>
      <c r="G65" t="inlineStr">
        <is>
          <t>KIRUNA</t>
        </is>
      </c>
      <c r="I65" t="n">
        <v>54.2</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46318</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46318</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46318</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30594-2026</t>
        </is>
      </c>
      <c r="B69" t="inlineStr">
        <is>
          <t>avverkningsanmälan</t>
        </is>
      </c>
      <c r="C69" t="inlineStr">
        <is>
          <t>Föryngringsavverkning</t>
        </is>
      </c>
      <c r="D69" s="1" t="n">
        <v>46210</v>
      </c>
      <c r="E69" s="1" t="n">
        <v>46318</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30591-2026</t>
        </is>
      </c>
      <c r="B70" t="inlineStr">
        <is>
          <t>avverkningsanmälan</t>
        </is>
      </c>
      <c r="C70" t="inlineStr">
        <is>
          <t>Föryngringsavverkning</t>
        </is>
      </c>
      <c r="D70" s="1" t="n">
        <v>46210</v>
      </c>
      <c r="E70" s="1" t="n">
        <v>46318</v>
      </c>
      <c r="F70" t="inlineStr">
        <is>
          <t>NORRBOTTENS LÄN</t>
        </is>
      </c>
      <c r="G70" t="inlineStr">
        <is>
          <t>KIRUNA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30562-2026</t>
        </is>
      </c>
      <c r="B71" t="inlineStr">
        <is>
          <t>avverkningsanmälan</t>
        </is>
      </c>
      <c r="C71" t="inlineStr">
        <is>
          <t>Föryngringsavverkning</t>
        </is>
      </c>
      <c r="D71" s="1" t="n">
        <v>46210</v>
      </c>
      <c r="E71" s="1" t="n">
        <v>46318</v>
      </c>
      <c r="F71" t="inlineStr">
        <is>
          <t>NORRBOTTENS LÄN</t>
        </is>
      </c>
      <c r="G71" t="inlineStr">
        <is>
          <t>KIRUNA</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5533-2024</t>
        </is>
      </c>
      <c r="B72" t="inlineStr">
        <is>
          <t>avverkningsanmälan</t>
        </is>
      </c>
      <c r="C72" t="inlineStr">
        <is>
          <t>Avverkning för annat ändamål</t>
        </is>
      </c>
      <c r="D72" s="1" t="n">
        <v>45334</v>
      </c>
      <c r="E72" s="1" t="n">
        <v>46318</v>
      </c>
      <c r="F72" t="inlineStr">
        <is>
          <t>NORRBOTTENS LÄN</t>
        </is>
      </c>
      <c r="G72" t="inlineStr">
        <is>
          <t>KIRUNA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9605-2024</t>
        </is>
      </c>
      <c r="B73" t="inlineStr">
        <is>
          <t>avverkningsanmälan</t>
        </is>
      </c>
      <c r="C73" t="inlineStr">
        <is>
          <t>Föryngringsavverkning</t>
        </is>
      </c>
      <c r="D73" s="1" t="n">
        <v>45361</v>
      </c>
      <c r="E73" s="1" t="n">
        <v>46318</v>
      </c>
      <c r="F73" t="inlineStr">
        <is>
          <t>NORRBOTTENS LÄN</t>
        </is>
      </c>
      <c r="G73" t="inlineStr">
        <is>
          <t>KIRUNA</t>
        </is>
      </c>
      <c r="I73" t="n">
        <v>8.4</v>
      </c>
      <c r="J73" t="n">
        <v>0</v>
      </c>
      <c r="K73" t="n">
        <v>0</v>
      </c>
      <c r="L73" t="n">
        <v>0</v>
      </c>
      <c r="M73" t="n">
        <v>0</v>
      </c>
      <c r="N73" t="n">
        <v>0</v>
      </c>
      <c r="O73" t="n">
        <v>0</v>
      </c>
      <c r="P73" t="n">
        <v>0</v>
      </c>
      <c r="Q73" t="n">
        <v>0</v>
      </c>
      <c r="R73" t="n">
        <v>0</v>
      </c>
      <c r="S73" t="n">
        <v>0</v>
      </c>
      <c r="T73" t="n">
        <v>0</v>
      </c>
      <c r="U73" t="n">
        <v>0</v>
      </c>
      <c r="V73" s="2" t="inlineStr"/>
    </row>
    <row r="74" ht="15" customHeight="1">
      <c r="A74" t="inlineStr">
        <is>
          <t>A 5411-2024</t>
        </is>
      </c>
      <c r="B74" t="inlineStr">
        <is>
          <t>avverkningsanmälan</t>
        </is>
      </c>
      <c r="C74" t="inlineStr">
        <is>
          <t>Föryngringsavverkning</t>
        </is>
      </c>
      <c r="D74" s="1" t="n">
        <v>45331</v>
      </c>
      <c r="E74" s="1" t="n">
        <v>46318</v>
      </c>
      <c r="F74" t="inlineStr">
        <is>
          <t>NORRBOTTENS LÄN</t>
        </is>
      </c>
      <c r="G74" t="inlineStr">
        <is>
          <t>KIRUNA</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21268-2026</t>
        </is>
      </c>
      <c r="B75" t="inlineStr">
        <is>
          <t>avverkningsanmälan</t>
        </is>
      </c>
      <c r="C75" t="inlineStr">
        <is>
          <t>Föryngringsavverkning</t>
        </is>
      </c>
      <c r="D75" s="1" t="n">
        <v>46147</v>
      </c>
      <c r="E75" s="1" t="n">
        <v>46318</v>
      </c>
      <c r="F75" t="inlineStr">
        <is>
          <t>NORRBOTTENS LÄN</t>
        </is>
      </c>
      <c r="G75" t="inlineStr">
        <is>
          <t>KIRUNA</t>
        </is>
      </c>
      <c r="I75" t="n">
        <v>35.7</v>
      </c>
      <c r="J75" t="n">
        <v>0</v>
      </c>
      <c r="K75" t="n">
        <v>0</v>
      </c>
      <c r="L75" t="n">
        <v>0</v>
      </c>
      <c r="M75" t="n">
        <v>0</v>
      </c>
      <c r="N75" t="n">
        <v>0</v>
      </c>
      <c r="O75" t="n">
        <v>0</v>
      </c>
      <c r="P75" t="n">
        <v>0</v>
      </c>
      <c r="Q75" t="n">
        <v>0</v>
      </c>
      <c r="R75" t="n">
        <v>0</v>
      </c>
      <c r="S75" t="n">
        <v>0</v>
      </c>
      <c r="T75" t="n">
        <v>0</v>
      </c>
      <c r="U75" t="n">
        <v>0</v>
      </c>
      <c r="V75" s="2" t="inlineStr"/>
    </row>
    <row r="76" ht="15" customHeight="1">
      <c r="A76" t="inlineStr">
        <is>
          <t>A 28707-2022</t>
        </is>
      </c>
      <c r="B76" t="inlineStr">
        <is>
          <t>avverkningsanmälan</t>
        </is>
      </c>
      <c r="C76" t="inlineStr">
        <is>
          <t>Föryngringsavverkning</t>
        </is>
      </c>
      <c r="D76" s="1" t="n">
        <v>44748</v>
      </c>
      <c r="E76" s="1" t="n">
        <v>46318</v>
      </c>
      <c r="F76" t="inlineStr">
        <is>
          <t>NORRBOTTENS LÄN</t>
        </is>
      </c>
      <c r="G76" t="inlineStr">
        <is>
          <t>KIRUNA</t>
        </is>
      </c>
      <c r="I76" t="n">
        <v>15.2</v>
      </c>
      <c r="J76" t="n">
        <v>0</v>
      </c>
      <c r="K76" t="n">
        <v>0</v>
      </c>
      <c r="L76" t="n">
        <v>0</v>
      </c>
      <c r="M76" t="n">
        <v>0</v>
      </c>
      <c r="N76" t="n">
        <v>0</v>
      </c>
      <c r="O76" t="n">
        <v>0</v>
      </c>
      <c r="P76" t="n">
        <v>0</v>
      </c>
      <c r="Q76" t="n">
        <v>0</v>
      </c>
      <c r="R76" t="n">
        <v>0</v>
      </c>
      <c r="S76" t="n">
        <v>0</v>
      </c>
      <c r="T76" t="n">
        <v>0</v>
      </c>
      <c r="U76" t="n">
        <v>0</v>
      </c>
      <c r="V76" s="2" t="inlineStr"/>
    </row>
    <row r="77" ht="15" customHeight="1">
      <c r="A77" t="inlineStr">
        <is>
          <t>A 9068-2023</t>
        </is>
      </c>
      <c r="B77" t="inlineStr">
        <is>
          <t>avverkningsanmälan</t>
        </is>
      </c>
      <c r="C77" t="inlineStr">
        <is>
          <t>Föryngringsavverkning</t>
        </is>
      </c>
      <c r="D77" s="1" t="n">
        <v>44979</v>
      </c>
      <c r="E77" s="1" t="n">
        <v>46318</v>
      </c>
      <c r="F77" t="inlineStr">
        <is>
          <t>NORRBOTTENS LÄN</t>
        </is>
      </c>
      <c r="G77" t="inlineStr">
        <is>
          <t>KIRUNA</t>
        </is>
      </c>
      <c r="H77" t="inlineStr">
        <is>
          <t>SCA</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93-2024</t>
        </is>
      </c>
      <c r="B78" t="inlineStr">
        <is>
          <t>avverkningsanmälan</t>
        </is>
      </c>
      <c r="C78" t="inlineStr">
        <is>
          <t>Avverkning för annat ändamål</t>
        </is>
      </c>
      <c r="D78" s="1" t="n">
        <v>45293</v>
      </c>
      <c r="E78" s="1" t="n">
        <v>46318</v>
      </c>
      <c r="F78" t="inlineStr">
        <is>
          <t>NORRBOTTENS LÄN</t>
        </is>
      </c>
      <c r="G78" t="inlineStr">
        <is>
          <t>KIRUNA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39321-2026</t>
        </is>
      </c>
      <c r="B79" t="inlineStr">
        <is>
          <t>avverkningsanmälan</t>
        </is>
      </c>
      <c r="C79" t="inlineStr">
        <is>
          <t>Föryngringsavverkning</t>
        </is>
      </c>
      <c r="D79" s="1" t="n">
        <v>46288</v>
      </c>
      <c r="E79" s="1" t="n">
        <v>46318</v>
      </c>
      <c r="F79" t="inlineStr">
        <is>
          <t>NORRBOTTENS LÄN</t>
        </is>
      </c>
      <c r="G79" t="inlineStr">
        <is>
          <t>KIRUNA</t>
        </is>
      </c>
      <c r="I79" t="n">
        <v>13.6</v>
      </c>
      <c r="J79" t="n">
        <v>0</v>
      </c>
      <c r="K79" t="n">
        <v>0</v>
      </c>
      <c r="L79" t="n">
        <v>0</v>
      </c>
      <c r="M79" t="n">
        <v>0</v>
      </c>
      <c r="N79" t="n">
        <v>0</v>
      </c>
      <c r="O79" t="n">
        <v>0</v>
      </c>
      <c r="P79" t="n">
        <v>0</v>
      </c>
      <c r="Q79" t="n">
        <v>0</v>
      </c>
      <c r="R79" t="n">
        <v>0</v>
      </c>
      <c r="S79" t="n">
        <v>0</v>
      </c>
      <c r="T79" t="n">
        <v>0</v>
      </c>
      <c r="U79" t="n">
        <v>0</v>
      </c>
      <c r="V79" s="2" t="inlineStr"/>
    </row>
    <row r="80" ht="15" customHeight="1">
      <c r="A80" t="inlineStr">
        <is>
          <t>A 40136-2026</t>
        </is>
      </c>
      <c r="B80" t="inlineStr">
        <is>
          <t>avverkningsanmälan</t>
        </is>
      </c>
      <c r="C80" t="inlineStr">
        <is>
          <t>Föryngringsavverkning</t>
        </is>
      </c>
      <c r="D80" s="1" t="n">
        <v>46293</v>
      </c>
      <c r="E80" s="1" t="n">
        <v>46318</v>
      </c>
      <c r="F80" t="inlineStr">
        <is>
          <t>NORRBOTTENS LÄN</t>
        </is>
      </c>
      <c r="G80" t="inlineStr">
        <is>
          <t>KIRUNA</t>
        </is>
      </c>
      <c r="I80" t="n">
        <v>9.5</v>
      </c>
      <c r="J80" t="n">
        <v>0</v>
      </c>
      <c r="K80" t="n">
        <v>0</v>
      </c>
      <c r="L80" t="n">
        <v>0</v>
      </c>
      <c r="M80" t="n">
        <v>0</v>
      </c>
      <c r="N80" t="n">
        <v>0</v>
      </c>
      <c r="O80" t="n">
        <v>0</v>
      </c>
      <c r="P80" t="n">
        <v>0</v>
      </c>
      <c r="Q80" t="n">
        <v>0</v>
      </c>
      <c r="R80" t="n">
        <v>0</v>
      </c>
      <c r="S80" t="n">
        <v>0</v>
      </c>
      <c r="T80" t="n">
        <v>0</v>
      </c>
      <c r="U80" t="n">
        <v>0</v>
      </c>
      <c r="V80" s="2" t="inlineStr"/>
    </row>
    <row r="81" ht="15" customHeight="1">
      <c r="A81" t="inlineStr">
        <is>
          <t>A 39064-2026</t>
        </is>
      </c>
      <c r="B81" t="inlineStr">
        <is>
          <t>avverkningsanmälan</t>
        </is>
      </c>
      <c r="C81" t="inlineStr">
        <is>
          <t>Föryngringsavverkning</t>
        </is>
      </c>
      <c r="D81" s="1" t="n">
        <v>46287</v>
      </c>
      <c r="E81" s="1" t="n">
        <v>46318</v>
      </c>
      <c r="F81" t="inlineStr">
        <is>
          <t>NORRBOTTENS LÄN</t>
        </is>
      </c>
      <c r="G81" t="inlineStr">
        <is>
          <t>KIRUNA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12969-2026</t>
        </is>
      </c>
      <c r="B82" t="inlineStr">
        <is>
          <t>avverkningsanmälan</t>
        </is>
      </c>
      <c r="C82" t="inlineStr">
        <is>
          <t>Föryngringsavverkning</t>
        </is>
      </c>
      <c r="D82" s="1" t="n">
        <v>46092</v>
      </c>
      <c r="E82" s="1" t="n">
        <v>46318</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39271-2023</t>
        </is>
      </c>
      <c r="B83" t="inlineStr">
        <is>
          <t>avverkningsanmälan</t>
        </is>
      </c>
      <c r="C83" t="inlineStr">
        <is>
          <t>Föryngringsavverkning</t>
        </is>
      </c>
      <c r="D83" s="1" t="n">
        <v>45162</v>
      </c>
      <c r="E83" s="1" t="n">
        <v>46318</v>
      </c>
      <c r="F83" t="inlineStr">
        <is>
          <t>NORRBOTTENS LÄN</t>
        </is>
      </c>
      <c r="G83" t="inlineStr">
        <is>
          <t>KIRUNA</t>
        </is>
      </c>
      <c r="I83" t="n">
        <v>51.9</v>
      </c>
      <c r="J83" t="n">
        <v>0</v>
      </c>
      <c r="K83" t="n">
        <v>0</v>
      </c>
      <c r="L83" t="n">
        <v>0</v>
      </c>
      <c r="M83" t="n">
        <v>0</v>
      </c>
      <c r="N83" t="n">
        <v>0</v>
      </c>
      <c r="O83" t="n">
        <v>0</v>
      </c>
      <c r="P83" t="n">
        <v>0</v>
      </c>
      <c r="Q83" t="n">
        <v>0</v>
      </c>
      <c r="R83" t="n">
        <v>0</v>
      </c>
      <c r="S83" t="n">
        <v>0</v>
      </c>
      <c r="T83" t="n">
        <v>0</v>
      </c>
      <c r="U83" t="n">
        <v>0</v>
      </c>
      <c r="V83" s="2" t="inlineStr"/>
    </row>
    <row r="84" ht="15" customHeight="1">
      <c r="A84" t="inlineStr">
        <is>
          <t>A 56168-2023</t>
        </is>
      </c>
      <c r="B84" t="inlineStr">
        <is>
          <t>avverkningsanmälan</t>
        </is>
      </c>
      <c r="C84" t="inlineStr">
        <is>
          <t>Avverkning för annat ändamål</t>
        </is>
      </c>
      <c r="D84" s="1" t="n">
        <v>45236</v>
      </c>
      <c r="E84" s="1" t="n">
        <v>46318</v>
      </c>
      <c r="F84" t="inlineStr">
        <is>
          <t>NORRBOTTENS LÄN</t>
        </is>
      </c>
      <c r="G84" t="inlineStr">
        <is>
          <t>KIRUNA</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22494-2024</t>
        </is>
      </c>
      <c r="B85" t="inlineStr">
        <is>
          <t>avverkningsanmälan</t>
        </is>
      </c>
      <c r="C85" t="inlineStr">
        <is>
          <t>Föryngringsavverkning</t>
        </is>
      </c>
      <c r="D85" s="1" t="n">
        <v>45447</v>
      </c>
      <c r="E85" s="1" t="n">
        <v>46318</v>
      </c>
      <c r="F85" t="inlineStr">
        <is>
          <t>NORRBOTTENS LÄN</t>
        </is>
      </c>
      <c r="G85" t="inlineStr">
        <is>
          <t>KIRUNA</t>
        </is>
      </c>
      <c r="I85" t="n">
        <v>6</v>
      </c>
      <c r="J85" t="n">
        <v>0</v>
      </c>
      <c r="K85" t="n">
        <v>0</v>
      </c>
      <c r="L85" t="n">
        <v>0</v>
      </c>
      <c r="M85" t="n">
        <v>0</v>
      </c>
      <c r="N85" t="n">
        <v>0</v>
      </c>
      <c r="O85" t="n">
        <v>0</v>
      </c>
      <c r="P85" t="n">
        <v>0</v>
      </c>
      <c r="Q85" t="n">
        <v>0</v>
      </c>
      <c r="R85" t="n">
        <v>0</v>
      </c>
      <c r="S85" t="n">
        <v>0</v>
      </c>
      <c r="T85" t="n">
        <v>0</v>
      </c>
      <c r="U85" t="n">
        <v>0</v>
      </c>
      <c r="V85" s="2" t="inlineStr"/>
    </row>
    <row r="86" ht="15" customHeight="1">
      <c r="A86" t="inlineStr">
        <is>
          <t>A 49704-2024</t>
        </is>
      </c>
      <c r="B86" t="inlineStr">
        <is>
          <t>avverkningsanmälan</t>
        </is>
      </c>
      <c r="C86" t="inlineStr">
        <is>
          <t>Föryngringsavverkning</t>
        </is>
      </c>
      <c r="D86" s="1" t="n">
        <v>45596</v>
      </c>
      <c r="E86" s="1" t="n">
        <v>46318</v>
      </c>
      <c r="F86" t="inlineStr">
        <is>
          <t>NORRBOTTENS LÄN</t>
        </is>
      </c>
      <c r="G86" t="inlineStr">
        <is>
          <t>KIRUNA</t>
        </is>
      </c>
      <c r="I86" t="n">
        <v>17.4</v>
      </c>
      <c r="J86" t="n">
        <v>0</v>
      </c>
      <c r="K86" t="n">
        <v>0</v>
      </c>
      <c r="L86" t="n">
        <v>0</v>
      </c>
      <c r="M86" t="n">
        <v>0</v>
      </c>
      <c r="N86" t="n">
        <v>0</v>
      </c>
      <c r="O86" t="n">
        <v>0</v>
      </c>
      <c r="P86" t="n">
        <v>0</v>
      </c>
      <c r="Q86" t="n">
        <v>0</v>
      </c>
      <c r="R86" t="n">
        <v>0</v>
      </c>
      <c r="S86" t="n">
        <v>0</v>
      </c>
      <c r="T86" t="n">
        <v>0</v>
      </c>
      <c r="U86" t="n">
        <v>0</v>
      </c>
      <c r="V86" s="2" t="inlineStr"/>
    </row>
    <row r="87" ht="15" customHeight="1">
      <c r="A87" t="inlineStr">
        <is>
          <t>A 41451-2026</t>
        </is>
      </c>
      <c r="B87" t="inlineStr">
        <is>
          <t>avverkningsanmälan</t>
        </is>
      </c>
      <c r="C87" t="inlineStr">
        <is>
          <t>Föryngringsavverkning</t>
        </is>
      </c>
      <c r="D87" s="1" t="n">
        <v>46301</v>
      </c>
      <c r="E87" s="1" t="n">
        <v>46318</v>
      </c>
      <c r="F87" t="inlineStr">
        <is>
          <t>NORRBOTTENS LÄN</t>
        </is>
      </c>
      <c r="G87" t="inlineStr">
        <is>
          <t>KIRUNA</t>
        </is>
      </c>
      <c r="I87" t="n">
        <v>28.1</v>
      </c>
      <c r="J87" t="n">
        <v>0</v>
      </c>
      <c r="K87" t="n">
        <v>0</v>
      </c>
      <c r="L87" t="n">
        <v>0</v>
      </c>
      <c r="M87" t="n">
        <v>0</v>
      </c>
      <c r="N87" t="n">
        <v>0</v>
      </c>
      <c r="O87" t="n">
        <v>0</v>
      </c>
      <c r="P87" t="n">
        <v>0</v>
      </c>
      <c r="Q87" t="n">
        <v>0</v>
      </c>
      <c r="R87" t="n">
        <v>0</v>
      </c>
      <c r="S87" t="n">
        <v>0</v>
      </c>
      <c r="T87" t="n">
        <v>0</v>
      </c>
      <c r="U87" t="n">
        <v>0</v>
      </c>
      <c r="V87" s="2" t="inlineStr"/>
    </row>
    <row r="88" ht="15" customHeight="1">
      <c r="A88" t="inlineStr">
        <is>
          <t>A 35765-2026</t>
        </is>
      </c>
      <c r="B88" t="inlineStr">
        <is>
          <t>avverkningsanmälan</t>
        </is>
      </c>
      <c r="C88" t="inlineStr">
        <is>
          <t>Föryngringsavverkning</t>
        </is>
      </c>
      <c r="D88" s="1" t="n">
        <v>46265</v>
      </c>
      <c r="E88" s="1" t="n">
        <v>46318</v>
      </c>
      <c r="F88" t="inlineStr">
        <is>
          <t>NORRBOTTENS LÄN</t>
        </is>
      </c>
      <c r="G88" t="inlineStr">
        <is>
          <t>KIRUNA</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47730-2024</t>
        </is>
      </c>
      <c r="B89" t="inlineStr">
        <is>
          <t>avverkningsanmälan</t>
        </is>
      </c>
      <c r="C89" t="inlineStr">
        <is>
          <t>Föryngringsavverkning</t>
        </is>
      </c>
      <c r="D89" s="1" t="n">
        <v>45588</v>
      </c>
      <c r="E89" s="1" t="n">
        <v>46318</v>
      </c>
      <c r="F89" t="inlineStr">
        <is>
          <t>NORRBOTTENS LÄN</t>
        </is>
      </c>
      <c r="G89" t="inlineStr">
        <is>
          <t>KIRUNA</t>
        </is>
      </c>
      <c r="H89" t="inlineStr">
        <is>
          <t>Allmännings- och besparingsskogar</t>
        </is>
      </c>
      <c r="I89" t="n">
        <v>3.7</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46318</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2026-10-23T02:03:07Z</dcterms:created>
  <dcterms:modified xmlns:dcterms="http://purl.org/dc/terms/" xmlns:xsi="http://www.w3.org/2001/XMLSchema-instance" xsi:type="dcterms:W3CDTF">2026-10-23T02:03:07Z</dcterms:modified>
</cp:coreProperties>
</file>