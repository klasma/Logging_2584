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45875</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45875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45875</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45875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45875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45875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45875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45875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10318-2025</t>
        </is>
      </c>
      <c r="B10" s="1" t="n">
        <v>45720</v>
      </c>
      <c r="C10" s="1" t="n">
        <v>45875</v>
      </c>
      <c r="D10" t="inlineStr">
        <is>
          <t>NORRBOTTENS LÄN</t>
        </is>
      </c>
      <c r="E10" t="inlineStr">
        <is>
          <t>KIRUNA</t>
        </is>
      </c>
      <c r="G10" t="n">
        <v>62.2</v>
      </c>
      <c r="H10" t="n">
        <v>2</v>
      </c>
      <c r="I10" t="n">
        <v>1</v>
      </c>
      <c r="J10" t="n">
        <v>6</v>
      </c>
      <c r="K10" t="n">
        <v>2</v>
      </c>
      <c r="L10" t="n">
        <v>0</v>
      </c>
      <c r="M10" t="n">
        <v>0</v>
      </c>
      <c r="N10" t="n">
        <v>0</v>
      </c>
      <c r="O10" t="n">
        <v>8</v>
      </c>
      <c r="P10" t="n">
        <v>2</v>
      </c>
      <c r="Q10" t="n">
        <v>10</v>
      </c>
      <c r="R10" s="2" t="inlineStr">
        <is>
          <t>Fläckporing
Gräddporing
Blanksvart spiklav
Dvärgbägarlav
Knottrig blåslav
Tretåig hackspett
Vedskivlav
Vitplätt
Vedticka
Lavskrika</t>
        </is>
      </c>
      <c r="S10">
        <f>HYPERLINK("https://klasma.github.io/Logging_252584/artfynd/A 10318-2025 artfynd.xlsx", "A 10318-2025")</f>
        <v/>
      </c>
      <c r="T10">
        <f>HYPERLINK("https://klasma.github.io/Logging_252584/kartor/A 10318-2025 karta.png", "A 10318-2025")</f>
        <v/>
      </c>
      <c r="V10">
        <f>HYPERLINK("https://klasma.github.io/Logging_252584/klagomål/A 10318-2025 FSC-klagomål.docx", "A 10318-2025")</f>
        <v/>
      </c>
      <c r="W10">
        <f>HYPERLINK("https://klasma.github.io/Logging_252584/klagomålsmail/A 10318-2025 FSC-klagomål mail.docx", "A 10318-2025")</f>
        <v/>
      </c>
      <c r="X10">
        <f>HYPERLINK("https://klasma.github.io/Logging_252584/tillsyn/A 10318-2025 tillsynsbegäran.docx", "A 10318-2025")</f>
        <v/>
      </c>
      <c r="Y10">
        <f>HYPERLINK("https://klasma.github.io/Logging_252584/tillsynsmail/A 10318-2025 tillsynsbegäran mail.docx", "A 10318-2025")</f>
        <v/>
      </c>
      <c r="Z10">
        <f>HYPERLINK("https://klasma.github.io/Logging_252584/fåglar/A 10318-2025 prioriterade fågelarter.docx", "A 10318-2025")</f>
        <v/>
      </c>
    </row>
    <row r="11" ht="15" customHeight="1">
      <c r="A11" t="inlineStr">
        <is>
          <t>A 41920-2019</t>
        </is>
      </c>
      <c r="B11" s="1" t="n">
        <v>43700</v>
      </c>
      <c r="C11" s="1" t="n">
        <v>45875</v>
      </c>
      <c r="D11" t="inlineStr">
        <is>
          <t>NORRBOTTENS LÄN</t>
        </is>
      </c>
      <c r="E11" t="inlineStr">
        <is>
          <t>KIRUNA</t>
        </is>
      </c>
      <c r="G11" t="n">
        <v>200.7</v>
      </c>
      <c r="H11" t="n">
        <v>2</v>
      </c>
      <c r="I11" t="n">
        <v>0</v>
      </c>
      <c r="J11" t="n">
        <v>8</v>
      </c>
      <c r="K11" t="n">
        <v>1</v>
      </c>
      <c r="L11" t="n">
        <v>0</v>
      </c>
      <c r="M11" t="n">
        <v>0</v>
      </c>
      <c r="N11" t="n">
        <v>0</v>
      </c>
      <c r="O11" t="n">
        <v>9</v>
      </c>
      <c r="P11" t="n">
        <v>1</v>
      </c>
      <c r="Q11" t="n">
        <v>9</v>
      </c>
      <c r="R11" s="2" t="inlineStr">
        <is>
          <t>Mörk blåslav
Fjällvråk
Granticka
Harticka
Knottrig blåslav
Rosenticka
Tretåig hackspett
Ullticka
Violmussling</t>
        </is>
      </c>
      <c r="S11">
        <f>HYPERLINK("https://klasma.github.io/Logging_2584/artfynd/A 41920-2019 artfynd.xlsx", "A 41920-2019")</f>
        <v/>
      </c>
      <c r="T11">
        <f>HYPERLINK("https://klasma.github.io/Logging_2584/kartor/A 41920-2019 karta.png", "A 41920-2019")</f>
        <v/>
      </c>
      <c r="V11">
        <f>HYPERLINK("https://klasma.github.io/Logging_2584/klagomål/A 41920-2019 FSC-klagomål.docx", "A 41920-2019")</f>
        <v/>
      </c>
      <c r="W11">
        <f>HYPERLINK("https://klasma.github.io/Logging_2584/klagomålsmail/A 41920-2019 FSC-klagomål mail.docx", "A 41920-2019")</f>
        <v/>
      </c>
      <c r="X11">
        <f>HYPERLINK("https://klasma.github.io/Logging_2584/tillsyn/A 41920-2019 tillsynsbegäran.docx", "A 41920-2019")</f>
        <v/>
      </c>
      <c r="Y11">
        <f>HYPERLINK("https://klasma.github.io/Logging_2584/tillsynsmail/A 41920-2019 tillsynsbegäran mail.docx", "A 41920-2019")</f>
        <v/>
      </c>
      <c r="Z11">
        <f>HYPERLINK("https://klasma.github.io/Logging_2584/fåglar/A 41920-2019 prioriterade fågelarter.docx", "A 41920-2019")</f>
        <v/>
      </c>
    </row>
    <row r="12" ht="15" customHeight="1">
      <c r="A12" t="inlineStr">
        <is>
          <t>A 52664-2019</t>
        </is>
      </c>
      <c r="B12" s="1" t="n">
        <v>43738</v>
      </c>
      <c r="C12" s="1" t="n">
        <v>45875</v>
      </c>
      <c r="D12" t="inlineStr">
        <is>
          <t>NORRBOTTENS LÄN</t>
        </is>
      </c>
      <c r="E12" t="inlineStr">
        <is>
          <t>KIRUNA</t>
        </is>
      </c>
      <c r="G12" t="n">
        <v>20.8</v>
      </c>
      <c r="H12" t="n">
        <v>1</v>
      </c>
      <c r="I12" t="n">
        <v>0</v>
      </c>
      <c r="J12" t="n">
        <v>3</v>
      </c>
      <c r="K12" t="n">
        <v>4</v>
      </c>
      <c r="L12" t="n">
        <v>0</v>
      </c>
      <c r="M12" t="n">
        <v>0</v>
      </c>
      <c r="N12" t="n">
        <v>0</v>
      </c>
      <c r="O12" t="n">
        <v>7</v>
      </c>
      <c r="P12" t="n">
        <v>4</v>
      </c>
      <c r="Q12" t="n">
        <v>7</v>
      </c>
      <c r="R12" s="2" t="inlineStr">
        <is>
          <t>Gräddporing
Lateritticka
Liten sotlav
Smalfotad taggsvamp
Dvärgbägarlav
Nordtagging
Tretåig hackspett</t>
        </is>
      </c>
      <c r="S12">
        <f>HYPERLINK("https://klasma.github.io/Logging_2584/artfynd/A 52664-2019 artfynd.xlsx", "A 52664-2019")</f>
        <v/>
      </c>
      <c r="T12">
        <f>HYPERLINK("https://klasma.github.io/Logging_2584/kartor/A 52664-2019 karta.png", "A 52664-2019")</f>
        <v/>
      </c>
      <c r="V12">
        <f>HYPERLINK("https://klasma.github.io/Logging_2584/klagomål/A 52664-2019 FSC-klagomål.docx", "A 52664-2019")</f>
        <v/>
      </c>
      <c r="W12">
        <f>HYPERLINK("https://klasma.github.io/Logging_2584/klagomålsmail/A 52664-2019 FSC-klagomål mail.docx", "A 52664-2019")</f>
        <v/>
      </c>
      <c r="X12">
        <f>HYPERLINK("https://klasma.github.io/Logging_2584/tillsyn/A 52664-2019 tillsynsbegäran.docx", "A 52664-2019")</f>
        <v/>
      </c>
      <c r="Y12">
        <f>HYPERLINK("https://klasma.github.io/Logging_2584/tillsynsmail/A 52664-2019 tillsynsbegäran mail.docx", "A 52664-2019")</f>
        <v/>
      </c>
      <c r="Z12">
        <f>HYPERLINK("https://klasma.github.io/Logging_2584/fåglar/A 52664-2019 prioriterade fågelarter.docx", "A 52664-2019")</f>
        <v/>
      </c>
    </row>
    <row r="13" ht="15" customHeight="1">
      <c r="A13" t="inlineStr">
        <is>
          <t>A 6934-2020</t>
        </is>
      </c>
      <c r="B13" s="1" t="n">
        <v>43867</v>
      </c>
      <c r="C13" s="1" t="n">
        <v>45875</v>
      </c>
      <c r="D13" t="inlineStr">
        <is>
          <t>NORRBOTTENS LÄN</t>
        </is>
      </c>
      <c r="E13" t="inlineStr">
        <is>
          <t>KIRUNA</t>
        </is>
      </c>
      <c r="F13" t="inlineStr">
        <is>
          <t>Sveaskog</t>
        </is>
      </c>
      <c r="G13" t="n">
        <v>17.1</v>
      </c>
      <c r="H13" t="n">
        <v>0</v>
      </c>
      <c r="I13" t="n">
        <v>0</v>
      </c>
      <c r="J13" t="n">
        <v>5</v>
      </c>
      <c r="K13" t="n">
        <v>2</v>
      </c>
      <c r="L13" t="n">
        <v>0</v>
      </c>
      <c r="M13" t="n">
        <v>0</v>
      </c>
      <c r="N13" t="n">
        <v>0</v>
      </c>
      <c r="O13" t="n">
        <v>7</v>
      </c>
      <c r="P13" t="n">
        <v>2</v>
      </c>
      <c r="Q13" t="n">
        <v>7</v>
      </c>
      <c r="R13" s="2" t="inlineStr">
        <is>
          <t>Ostticka
Rynkskinn
Granticka
Harticka
Knottrig blåslav
Rosenticka
Ullticka</t>
        </is>
      </c>
      <c r="S13">
        <f>HYPERLINK("https://klasma.github.io/Logging_2584/artfynd/A 6934-2020 artfynd.xlsx", "A 6934-2020")</f>
        <v/>
      </c>
      <c r="T13">
        <f>HYPERLINK("https://klasma.github.io/Logging_2584/kartor/A 6934-2020 karta.png", "A 6934-2020")</f>
        <v/>
      </c>
      <c r="V13">
        <f>HYPERLINK("https://klasma.github.io/Logging_2584/klagomål/A 6934-2020 FSC-klagomål.docx", "A 6934-2020")</f>
        <v/>
      </c>
      <c r="W13">
        <f>HYPERLINK("https://klasma.github.io/Logging_2584/klagomålsmail/A 6934-2020 FSC-klagomål mail.docx", "A 6934-2020")</f>
        <v/>
      </c>
      <c r="X13">
        <f>HYPERLINK("https://klasma.github.io/Logging_2584/tillsyn/A 6934-2020 tillsynsbegäran.docx", "A 6934-2020")</f>
        <v/>
      </c>
      <c r="Y13">
        <f>HYPERLINK("https://klasma.github.io/Logging_2584/tillsynsmail/A 6934-2020 tillsynsbegäran mail.docx", "A 6934-2020")</f>
        <v/>
      </c>
    </row>
    <row r="14" ht="15" customHeight="1">
      <c r="A14" t="inlineStr">
        <is>
          <t>A 17891-2025</t>
        </is>
      </c>
      <c r="B14" s="1" t="n">
        <v>45758</v>
      </c>
      <c r="C14" s="1" t="n">
        <v>45875</v>
      </c>
      <c r="D14" t="inlineStr">
        <is>
          <t>NORRBOTTENS LÄN</t>
        </is>
      </c>
      <c r="E14" t="inlineStr">
        <is>
          <t>KIRUNA</t>
        </is>
      </c>
      <c r="G14" t="n">
        <v>19.9</v>
      </c>
      <c r="H14" t="n">
        <v>3</v>
      </c>
      <c r="I14" t="n">
        <v>1</v>
      </c>
      <c r="J14" t="n">
        <v>5</v>
      </c>
      <c r="K14" t="n">
        <v>0</v>
      </c>
      <c r="L14" t="n">
        <v>0</v>
      </c>
      <c r="M14" t="n">
        <v>0</v>
      </c>
      <c r="N14" t="n">
        <v>0</v>
      </c>
      <c r="O14" t="n">
        <v>5</v>
      </c>
      <c r="P14" t="n">
        <v>0</v>
      </c>
      <c r="Q14" t="n">
        <v>6</v>
      </c>
      <c r="R14" s="2" t="inlineStr">
        <is>
          <t>Granticka
Knottrig blåslav
Lappmes
Talltita
Tretåig hackspett
Blodticka</t>
        </is>
      </c>
      <c r="S14">
        <f>HYPERLINK("https://klasma.github.io/Logging_252584/artfynd/A 17891-2025 artfynd.xlsx", "A 17891-2025")</f>
        <v/>
      </c>
      <c r="T14">
        <f>HYPERLINK("https://klasma.github.io/Logging_252584/kartor/A 17891-2025 karta.png", "A 17891-2025")</f>
        <v/>
      </c>
      <c r="V14">
        <f>HYPERLINK("https://klasma.github.io/Logging_252584/klagomål/A 17891-2025 FSC-klagomål.docx", "A 17891-2025")</f>
        <v/>
      </c>
      <c r="W14">
        <f>HYPERLINK("https://klasma.github.io/Logging_252584/klagomålsmail/A 17891-2025 FSC-klagomål mail.docx", "A 17891-2025")</f>
        <v/>
      </c>
      <c r="X14">
        <f>HYPERLINK("https://klasma.github.io/Logging_252584/tillsyn/A 17891-2025 tillsynsbegäran.docx", "A 17891-2025")</f>
        <v/>
      </c>
      <c r="Y14">
        <f>HYPERLINK("https://klasma.github.io/Logging_252584/tillsynsmail/A 17891-2025 tillsynsbegäran mail.docx", "A 17891-2025")</f>
        <v/>
      </c>
      <c r="Z14">
        <f>HYPERLINK("https://klasma.github.io/Logging_252584/fåglar/A 17891-2025 prioriterade fågelarter.docx", "A 17891-2025")</f>
        <v/>
      </c>
    </row>
    <row r="15" ht="15" customHeight="1">
      <c r="A15" t="inlineStr">
        <is>
          <t>A 38342-2020</t>
        </is>
      </c>
      <c r="B15" s="1" t="n">
        <v>44060</v>
      </c>
      <c r="C15" s="1" t="n">
        <v>45875</v>
      </c>
      <c r="D15" t="inlineStr">
        <is>
          <t>NORRBOTTENS LÄN</t>
        </is>
      </c>
      <c r="E15" t="inlineStr">
        <is>
          <t>KIRUNA</t>
        </is>
      </c>
      <c r="F15" t="inlineStr">
        <is>
          <t>Allmännings- och besparingsskogar</t>
        </is>
      </c>
      <c r="G15" t="n">
        <v>4</v>
      </c>
      <c r="H15" t="n">
        <v>0</v>
      </c>
      <c r="I15" t="n">
        <v>0</v>
      </c>
      <c r="J15" t="n">
        <v>4</v>
      </c>
      <c r="K15" t="n">
        <v>1</v>
      </c>
      <c r="L15" t="n">
        <v>0</v>
      </c>
      <c r="M15" t="n">
        <v>0</v>
      </c>
      <c r="N15" t="n">
        <v>0</v>
      </c>
      <c r="O15" t="n">
        <v>5</v>
      </c>
      <c r="P15" t="n">
        <v>1</v>
      </c>
      <c r="Q15" t="n">
        <v>5</v>
      </c>
      <c r="R15" s="2" t="inlineStr">
        <is>
          <t>Ostticka
Granticka
Rosenticka
Tallriska
Ullticka</t>
        </is>
      </c>
      <c r="S15">
        <f>HYPERLINK("https://klasma.github.io/Logging_2584/artfynd/A 38342-2020 artfynd.xlsx", "A 38342-2020")</f>
        <v/>
      </c>
      <c r="T15">
        <f>HYPERLINK("https://klasma.github.io/Logging_2584/kartor/A 38342-2020 karta.png", "A 38342-2020")</f>
        <v/>
      </c>
      <c r="V15">
        <f>HYPERLINK("https://klasma.github.io/Logging_2584/klagomål/A 38342-2020 FSC-klagomål.docx", "A 38342-2020")</f>
        <v/>
      </c>
      <c r="W15">
        <f>HYPERLINK("https://klasma.github.io/Logging_2584/klagomålsmail/A 38342-2020 FSC-klagomål mail.docx", "A 38342-2020")</f>
        <v/>
      </c>
      <c r="X15">
        <f>HYPERLINK("https://klasma.github.io/Logging_2584/tillsyn/A 38342-2020 tillsynsbegäran.docx", "A 38342-2020")</f>
        <v/>
      </c>
      <c r="Y15">
        <f>HYPERLINK("https://klasma.github.io/Logging_2584/tillsynsmail/A 38342-2020 tillsynsbegäran mail.docx", "A 38342-2020")</f>
        <v/>
      </c>
    </row>
    <row r="16" ht="15" customHeight="1">
      <c r="A16" t="inlineStr">
        <is>
          <t>A 6896-2021</t>
        </is>
      </c>
      <c r="B16" s="1" t="n">
        <v>44237</v>
      </c>
      <c r="C16" s="1" t="n">
        <v>45875</v>
      </c>
      <c r="D16" t="inlineStr">
        <is>
          <t>NORRBOTTENS LÄN</t>
        </is>
      </c>
      <c r="E16" t="inlineStr">
        <is>
          <t>KIRUNA</t>
        </is>
      </c>
      <c r="G16" t="n">
        <v>5.3</v>
      </c>
      <c r="H16" t="n">
        <v>1</v>
      </c>
      <c r="I16" t="n">
        <v>0</v>
      </c>
      <c r="J16" t="n">
        <v>5</v>
      </c>
      <c r="K16" t="n">
        <v>0</v>
      </c>
      <c r="L16" t="n">
        <v>0</v>
      </c>
      <c r="M16" t="n">
        <v>0</v>
      </c>
      <c r="N16" t="n">
        <v>0</v>
      </c>
      <c r="O16" t="n">
        <v>5</v>
      </c>
      <c r="P16" t="n">
        <v>0</v>
      </c>
      <c r="Q16" t="n">
        <v>5</v>
      </c>
      <c r="R16" s="2" t="inlineStr">
        <is>
          <t>Granticka
Harticka
Knottrig blåslav
Tretåig hackspett
Ullticka</t>
        </is>
      </c>
      <c r="S16">
        <f>HYPERLINK("https://klasma.github.io/Logging_2584/artfynd/A 6896-2021 artfynd.xlsx", "A 6896-2021")</f>
        <v/>
      </c>
      <c r="T16">
        <f>HYPERLINK("https://klasma.github.io/Logging_2584/kartor/A 6896-2021 karta.png", "A 6896-2021")</f>
        <v/>
      </c>
      <c r="V16">
        <f>HYPERLINK("https://klasma.github.io/Logging_2584/klagomål/A 6896-2021 FSC-klagomål.docx", "A 6896-2021")</f>
        <v/>
      </c>
      <c r="W16">
        <f>HYPERLINK("https://klasma.github.io/Logging_2584/klagomålsmail/A 6896-2021 FSC-klagomål mail.docx", "A 6896-2021")</f>
        <v/>
      </c>
      <c r="X16">
        <f>HYPERLINK("https://klasma.github.io/Logging_2584/tillsyn/A 6896-2021 tillsynsbegäran.docx", "A 6896-2021")</f>
        <v/>
      </c>
      <c r="Y16">
        <f>HYPERLINK("https://klasma.github.io/Logging_2584/tillsynsmail/A 6896-2021 tillsynsbegäran mail.docx", "A 6896-2021")</f>
        <v/>
      </c>
      <c r="Z16">
        <f>HYPERLINK("https://klasma.github.io/Logging_2584/fåglar/A 6896-2021 prioriterade fågelarter.docx", "A 6896-2021")</f>
        <v/>
      </c>
    </row>
    <row r="17" ht="15" customHeight="1">
      <c r="A17" t="inlineStr">
        <is>
          <t>A 20570-2025</t>
        </is>
      </c>
      <c r="B17" s="1" t="n">
        <v>45775</v>
      </c>
      <c r="C17" s="1" t="n">
        <v>45875</v>
      </c>
      <c r="D17" t="inlineStr">
        <is>
          <t>NORRBOTTENS LÄN</t>
        </is>
      </c>
      <c r="E17" t="inlineStr">
        <is>
          <t>KIRUNA</t>
        </is>
      </c>
      <c r="F17" t="inlineStr">
        <is>
          <t>Sveaskog</t>
        </is>
      </c>
      <c r="G17" t="n">
        <v>31.4</v>
      </c>
      <c r="H17" t="n">
        <v>1</v>
      </c>
      <c r="I17" t="n">
        <v>2</v>
      </c>
      <c r="J17" t="n">
        <v>3</v>
      </c>
      <c r="K17" t="n">
        <v>0</v>
      </c>
      <c r="L17" t="n">
        <v>0</v>
      </c>
      <c r="M17" t="n">
        <v>0</v>
      </c>
      <c r="N17" t="n">
        <v>0</v>
      </c>
      <c r="O17" t="n">
        <v>3</v>
      </c>
      <c r="P17" t="n">
        <v>0</v>
      </c>
      <c r="Q17" t="n">
        <v>5</v>
      </c>
      <c r="R17" s="2" t="inlineStr">
        <is>
          <t>Garnlav
Harticka
Knottrig blåslav
Lappranunkel
Stuplav</t>
        </is>
      </c>
      <c r="S17">
        <f>HYPERLINK("https://klasma.github.io/Logging_252584/artfynd/A 20570-2025 artfynd.xlsx", "A 20570-2025")</f>
        <v/>
      </c>
      <c r="T17">
        <f>HYPERLINK("https://klasma.github.io/Logging_252584/kartor/A 20570-2025 karta.png", "A 20570-2025")</f>
        <v/>
      </c>
      <c r="V17">
        <f>HYPERLINK("https://klasma.github.io/Logging_252584/klagomål/A 20570-2025 FSC-klagomål.docx", "A 20570-2025")</f>
        <v/>
      </c>
      <c r="W17">
        <f>HYPERLINK("https://klasma.github.io/Logging_252584/klagomålsmail/A 20570-2025 FSC-klagomål mail.docx", "A 20570-2025")</f>
        <v/>
      </c>
      <c r="X17">
        <f>HYPERLINK("https://klasma.github.io/Logging_252584/tillsyn/A 20570-2025 tillsynsbegäran.docx", "A 20570-2025")</f>
        <v/>
      </c>
      <c r="Y17">
        <f>HYPERLINK("https://klasma.github.io/Logging_252584/tillsynsmail/A 20570-2025 tillsynsbegäran mail.docx", "A 20570-2025")</f>
        <v/>
      </c>
    </row>
    <row r="18" ht="15" customHeight="1">
      <c r="A18" t="inlineStr">
        <is>
          <t>A 61313-2019</t>
        </is>
      </c>
      <c r="B18" s="1" t="n">
        <v>43775</v>
      </c>
      <c r="C18" s="1" t="n">
        <v>45875</v>
      </c>
      <c r="D18" t="inlineStr">
        <is>
          <t>NORRBOTTENS LÄN</t>
        </is>
      </c>
      <c r="E18" t="inlineStr">
        <is>
          <t>KIRUNA</t>
        </is>
      </c>
      <c r="F18" t="inlineStr">
        <is>
          <t>Övriga statliga verk och myndigheter</t>
        </is>
      </c>
      <c r="G18" t="n">
        <v>28.7</v>
      </c>
      <c r="H18" t="n">
        <v>4</v>
      </c>
      <c r="I18" t="n">
        <v>0</v>
      </c>
      <c r="J18" t="n">
        <v>2</v>
      </c>
      <c r="K18" t="n">
        <v>1</v>
      </c>
      <c r="L18" t="n">
        <v>0</v>
      </c>
      <c r="M18" t="n">
        <v>0</v>
      </c>
      <c r="N18" t="n">
        <v>0</v>
      </c>
      <c r="O18" t="n">
        <v>3</v>
      </c>
      <c r="P18" t="n">
        <v>1</v>
      </c>
      <c r="Q18" t="n">
        <v>4</v>
      </c>
      <c r="R18" s="2" t="inlineStr">
        <is>
          <t>Norna
Björktrast
Fiskmås
Lavskrika</t>
        </is>
      </c>
      <c r="S18">
        <f>HYPERLINK("https://klasma.github.io/Logging_2584/artfynd/A 61313-2019 artfynd.xlsx", "A 61313-2019")</f>
        <v/>
      </c>
      <c r="T18">
        <f>HYPERLINK("https://klasma.github.io/Logging_2584/kartor/A 61313-2019 karta.png", "A 61313-2019")</f>
        <v/>
      </c>
      <c r="V18">
        <f>HYPERLINK("https://klasma.github.io/Logging_2584/klagomål/A 61313-2019 FSC-klagomål.docx", "A 61313-2019")</f>
        <v/>
      </c>
      <c r="W18">
        <f>HYPERLINK("https://klasma.github.io/Logging_2584/klagomålsmail/A 61313-2019 FSC-klagomål mail.docx", "A 61313-2019")</f>
        <v/>
      </c>
      <c r="X18">
        <f>HYPERLINK("https://klasma.github.io/Logging_2584/tillsyn/A 61313-2019 tillsynsbegäran.docx", "A 61313-2019")</f>
        <v/>
      </c>
      <c r="Y18">
        <f>HYPERLINK("https://klasma.github.io/Logging_2584/tillsynsmail/A 61313-2019 tillsynsbegäran mail.docx", "A 61313-2019")</f>
        <v/>
      </c>
      <c r="Z18">
        <f>HYPERLINK("https://klasma.github.io/Logging_2584/fåglar/A 61313-2019 prioriterade fågelarter.docx", "A 61313-2019")</f>
        <v/>
      </c>
    </row>
    <row r="19" ht="15" customHeight="1">
      <c r="A19" t="inlineStr">
        <is>
          <t>A 27955-2020</t>
        </is>
      </c>
      <c r="B19" s="1" t="n">
        <v>43993</v>
      </c>
      <c r="C19" s="1" t="n">
        <v>45875</v>
      </c>
      <c r="D19" t="inlineStr">
        <is>
          <t>NORRBOTTENS LÄN</t>
        </is>
      </c>
      <c r="E19" t="inlineStr">
        <is>
          <t>KIRUNA</t>
        </is>
      </c>
      <c r="G19" t="n">
        <v>46.5</v>
      </c>
      <c r="H19" t="n">
        <v>0</v>
      </c>
      <c r="I19" t="n">
        <v>2</v>
      </c>
      <c r="J19" t="n">
        <v>1</v>
      </c>
      <c r="K19" t="n">
        <v>1</v>
      </c>
      <c r="L19" t="n">
        <v>0</v>
      </c>
      <c r="M19" t="n">
        <v>0</v>
      </c>
      <c r="N19" t="n">
        <v>0</v>
      </c>
      <c r="O19" t="n">
        <v>2</v>
      </c>
      <c r="P19" t="n">
        <v>1</v>
      </c>
      <c r="Q19" t="n">
        <v>4</v>
      </c>
      <c r="R19" s="2" t="inlineStr">
        <is>
          <t>Fläckporing
Granticka
Vedticka
Ögonpyrola</t>
        </is>
      </c>
      <c r="S19">
        <f>HYPERLINK("https://klasma.github.io/Logging_2584/artfynd/A 27955-2020 artfynd.xlsx", "A 27955-2020")</f>
        <v/>
      </c>
      <c r="T19">
        <f>HYPERLINK("https://klasma.github.io/Logging_2584/kartor/A 27955-2020 karta.png", "A 27955-2020")</f>
        <v/>
      </c>
      <c r="V19">
        <f>HYPERLINK("https://klasma.github.io/Logging_2584/klagomål/A 27955-2020 FSC-klagomål.docx", "A 27955-2020")</f>
        <v/>
      </c>
      <c r="W19">
        <f>HYPERLINK("https://klasma.github.io/Logging_2584/klagomålsmail/A 27955-2020 FSC-klagomål mail.docx", "A 27955-2020")</f>
        <v/>
      </c>
      <c r="X19">
        <f>HYPERLINK("https://klasma.github.io/Logging_2584/tillsyn/A 27955-2020 tillsynsbegäran.docx", "A 27955-2020")</f>
        <v/>
      </c>
      <c r="Y19">
        <f>HYPERLINK("https://klasma.github.io/Logging_2584/tillsynsmail/A 27955-2020 tillsynsbegäran mail.docx", "A 27955-2020")</f>
        <v/>
      </c>
    </row>
    <row r="20" ht="15" customHeight="1">
      <c r="A20" t="inlineStr">
        <is>
          <t>A 42512-2020</t>
        </is>
      </c>
      <c r="B20" s="1" t="n">
        <v>44074</v>
      </c>
      <c r="C20" s="1" t="n">
        <v>45875</v>
      </c>
      <c r="D20" t="inlineStr">
        <is>
          <t>NORRBOTTENS LÄN</t>
        </is>
      </c>
      <c r="E20" t="inlineStr">
        <is>
          <t>KIRUNA</t>
        </is>
      </c>
      <c r="F20" t="inlineStr">
        <is>
          <t>Sveaskog</t>
        </is>
      </c>
      <c r="G20" t="n">
        <v>14</v>
      </c>
      <c r="H20" t="n">
        <v>1</v>
      </c>
      <c r="I20" t="n">
        <v>1</v>
      </c>
      <c r="J20" t="n">
        <v>3</v>
      </c>
      <c r="K20" t="n">
        <v>0</v>
      </c>
      <c r="L20" t="n">
        <v>0</v>
      </c>
      <c r="M20" t="n">
        <v>0</v>
      </c>
      <c r="N20" t="n">
        <v>0</v>
      </c>
      <c r="O20" t="n">
        <v>3</v>
      </c>
      <c r="P20" t="n">
        <v>0</v>
      </c>
      <c r="Q20" t="n">
        <v>4</v>
      </c>
      <c r="R20" s="2" t="inlineStr">
        <is>
          <t>Granticka
Knottrig blåslav
Vitplätt
Plattlummer</t>
        </is>
      </c>
      <c r="S20">
        <f>HYPERLINK("https://klasma.github.io/Logging_2584/artfynd/A 42512-2020 artfynd.xlsx", "A 42512-2020")</f>
        <v/>
      </c>
      <c r="T20">
        <f>HYPERLINK("https://klasma.github.io/Logging_2584/kartor/A 42512-2020 karta.png", "A 42512-2020")</f>
        <v/>
      </c>
      <c r="V20">
        <f>HYPERLINK("https://klasma.github.io/Logging_2584/klagomål/A 42512-2020 FSC-klagomål.docx", "A 42512-2020")</f>
        <v/>
      </c>
      <c r="W20">
        <f>HYPERLINK("https://klasma.github.io/Logging_2584/klagomålsmail/A 42512-2020 FSC-klagomål mail.docx", "A 42512-2020")</f>
        <v/>
      </c>
      <c r="X20">
        <f>HYPERLINK("https://klasma.github.io/Logging_2584/tillsyn/A 42512-2020 tillsynsbegäran.docx", "A 42512-2020")</f>
        <v/>
      </c>
      <c r="Y20">
        <f>HYPERLINK("https://klasma.github.io/Logging_2584/tillsynsmail/A 42512-2020 tillsynsbegäran mail.docx", "A 42512-2020")</f>
        <v/>
      </c>
    </row>
    <row r="21" ht="15" customHeight="1">
      <c r="A21" t="inlineStr">
        <is>
          <t>A 42532-2020</t>
        </is>
      </c>
      <c r="B21" s="1" t="n">
        <v>44074</v>
      </c>
      <c r="C21" s="1" t="n">
        <v>45875</v>
      </c>
      <c r="D21" t="inlineStr">
        <is>
          <t>NORRBOTTENS LÄN</t>
        </is>
      </c>
      <c r="E21" t="inlineStr">
        <is>
          <t>KIRUNA</t>
        </is>
      </c>
      <c r="F21" t="inlineStr">
        <is>
          <t>Sveaskog</t>
        </is>
      </c>
      <c r="G21" t="n">
        <v>24.6</v>
      </c>
      <c r="H21" t="n">
        <v>1</v>
      </c>
      <c r="I21" t="n">
        <v>0</v>
      </c>
      <c r="J21" t="n">
        <v>3</v>
      </c>
      <c r="K21" t="n">
        <v>1</v>
      </c>
      <c r="L21" t="n">
        <v>0</v>
      </c>
      <c r="M21" t="n">
        <v>0</v>
      </c>
      <c r="N21" t="n">
        <v>0</v>
      </c>
      <c r="O21" t="n">
        <v>4</v>
      </c>
      <c r="P21" t="n">
        <v>1</v>
      </c>
      <c r="Q21" t="n">
        <v>4</v>
      </c>
      <c r="R21" s="2" t="inlineStr">
        <is>
          <t>Doftticka
Knottrig blåslav
Skrovellav
Vitplätt</t>
        </is>
      </c>
      <c r="S21">
        <f>HYPERLINK("https://klasma.github.io/Logging_2584/artfynd/A 42532-2020 artfynd.xlsx", "A 42532-2020")</f>
        <v/>
      </c>
      <c r="T21">
        <f>HYPERLINK("https://klasma.github.io/Logging_2584/kartor/A 42532-2020 karta.png", "A 42532-2020")</f>
        <v/>
      </c>
      <c r="V21">
        <f>HYPERLINK("https://klasma.github.io/Logging_2584/klagomål/A 42532-2020 FSC-klagomål.docx", "A 42532-2020")</f>
        <v/>
      </c>
      <c r="W21">
        <f>HYPERLINK("https://klasma.github.io/Logging_2584/klagomålsmail/A 42532-2020 FSC-klagomål mail.docx", "A 42532-2020")</f>
        <v/>
      </c>
      <c r="X21">
        <f>HYPERLINK("https://klasma.github.io/Logging_2584/tillsyn/A 42532-2020 tillsynsbegäran.docx", "A 42532-2020")</f>
        <v/>
      </c>
      <c r="Y21">
        <f>HYPERLINK("https://klasma.github.io/Logging_2584/tillsynsmail/A 42532-2020 tillsynsbegäran mail.docx", "A 42532-2020")</f>
        <v/>
      </c>
    </row>
    <row r="22" ht="15" customHeight="1">
      <c r="A22" t="inlineStr">
        <is>
          <t>A 27642-2020</t>
        </is>
      </c>
      <c r="B22" s="1" t="n">
        <v>43993</v>
      </c>
      <c r="C22" s="1" t="n">
        <v>45875</v>
      </c>
      <c r="D22" t="inlineStr">
        <is>
          <t>NORRBOTTENS LÄN</t>
        </is>
      </c>
      <c r="E22" t="inlineStr">
        <is>
          <t>KIRUNA</t>
        </is>
      </c>
      <c r="G22" t="n">
        <v>31.9</v>
      </c>
      <c r="H22" t="n">
        <v>1</v>
      </c>
      <c r="I22" t="n">
        <v>0</v>
      </c>
      <c r="J22" t="n">
        <v>1</v>
      </c>
      <c r="K22" t="n">
        <v>1</v>
      </c>
      <c r="L22" t="n">
        <v>0</v>
      </c>
      <c r="M22" t="n">
        <v>0</v>
      </c>
      <c r="N22" t="n">
        <v>0</v>
      </c>
      <c r="O22" t="n">
        <v>2</v>
      </c>
      <c r="P22" t="n">
        <v>1</v>
      </c>
      <c r="Q22" t="n">
        <v>3</v>
      </c>
      <c r="R22" s="2" t="inlineStr">
        <is>
          <t>Gräddporing
Röd trolldruva
Brudsporre</t>
        </is>
      </c>
      <c r="S22">
        <f>HYPERLINK("https://klasma.github.io/Logging_2584/artfynd/A 27642-2020 artfynd.xlsx", "A 27642-2020")</f>
        <v/>
      </c>
      <c r="T22">
        <f>HYPERLINK("https://klasma.github.io/Logging_2584/kartor/A 27642-2020 karta.png", "A 27642-2020")</f>
        <v/>
      </c>
      <c r="V22">
        <f>HYPERLINK("https://klasma.github.io/Logging_2584/klagomål/A 27642-2020 FSC-klagomål.docx", "A 27642-2020")</f>
        <v/>
      </c>
      <c r="W22">
        <f>HYPERLINK("https://klasma.github.io/Logging_2584/klagomålsmail/A 27642-2020 FSC-klagomål mail.docx", "A 27642-2020")</f>
        <v/>
      </c>
      <c r="X22">
        <f>HYPERLINK("https://klasma.github.io/Logging_2584/tillsyn/A 27642-2020 tillsynsbegäran.docx", "A 27642-2020")</f>
        <v/>
      </c>
      <c r="Y22">
        <f>HYPERLINK("https://klasma.github.io/Logging_2584/tillsynsmail/A 27642-2020 tillsynsbegäran mail.docx", "A 27642-2020")</f>
        <v/>
      </c>
    </row>
    <row r="23" ht="15" customHeight="1">
      <c r="A23" t="inlineStr">
        <is>
          <t>A 38334-2020</t>
        </is>
      </c>
      <c r="B23" s="1" t="n">
        <v>44060</v>
      </c>
      <c r="C23" s="1" t="n">
        <v>45875</v>
      </c>
      <c r="D23" t="inlineStr">
        <is>
          <t>NORRBOTTENS LÄN</t>
        </is>
      </c>
      <c r="E23" t="inlineStr">
        <is>
          <t>KIRUNA</t>
        </is>
      </c>
      <c r="F23" t="inlineStr">
        <is>
          <t>Allmännings- och besparingsskogar</t>
        </is>
      </c>
      <c r="G23" t="n">
        <v>13</v>
      </c>
      <c r="H23" t="n">
        <v>0</v>
      </c>
      <c r="I23" t="n">
        <v>0</v>
      </c>
      <c r="J23" t="n">
        <v>2</v>
      </c>
      <c r="K23" t="n">
        <v>1</v>
      </c>
      <c r="L23" t="n">
        <v>0</v>
      </c>
      <c r="M23" t="n">
        <v>0</v>
      </c>
      <c r="N23" t="n">
        <v>0</v>
      </c>
      <c r="O23" t="n">
        <v>3</v>
      </c>
      <c r="P23" t="n">
        <v>1</v>
      </c>
      <c r="Q23" t="n">
        <v>3</v>
      </c>
      <c r="R23" s="2" t="inlineStr">
        <is>
          <t>Torrmusseron
Blå taggsvamp
Talltaggsvamp</t>
        </is>
      </c>
      <c r="S23">
        <f>HYPERLINK("https://klasma.github.io/Logging_2584/artfynd/A 38334-2020 artfynd.xlsx", "A 38334-2020")</f>
        <v/>
      </c>
      <c r="T23">
        <f>HYPERLINK("https://klasma.github.io/Logging_2584/kartor/A 38334-2020 karta.png", "A 38334-2020")</f>
        <v/>
      </c>
      <c r="V23">
        <f>HYPERLINK("https://klasma.github.io/Logging_2584/klagomål/A 38334-2020 FSC-klagomål.docx", "A 38334-2020")</f>
        <v/>
      </c>
      <c r="W23">
        <f>HYPERLINK("https://klasma.github.io/Logging_2584/klagomålsmail/A 38334-2020 FSC-klagomål mail.docx", "A 38334-2020")</f>
        <v/>
      </c>
      <c r="X23">
        <f>HYPERLINK("https://klasma.github.io/Logging_2584/tillsyn/A 38334-2020 tillsynsbegäran.docx", "A 38334-2020")</f>
        <v/>
      </c>
      <c r="Y23">
        <f>HYPERLINK("https://klasma.github.io/Logging_2584/tillsynsmail/A 38334-2020 tillsynsbegäran mail.docx", "A 38334-2020")</f>
        <v/>
      </c>
    </row>
    <row r="24" ht="15" customHeight="1">
      <c r="A24" t="inlineStr">
        <is>
          <t>A 42509-2020</t>
        </is>
      </c>
      <c r="B24" s="1" t="n">
        <v>44074</v>
      </c>
      <c r="C24" s="1" t="n">
        <v>45875</v>
      </c>
      <c r="D24" t="inlineStr">
        <is>
          <t>NORRBOTTENS LÄN</t>
        </is>
      </c>
      <c r="E24" t="inlineStr">
        <is>
          <t>KIRUNA</t>
        </is>
      </c>
      <c r="F24" t="inlineStr">
        <is>
          <t>Sveaskog</t>
        </is>
      </c>
      <c r="G24" t="n">
        <v>25.3</v>
      </c>
      <c r="H24" t="n">
        <v>0</v>
      </c>
      <c r="I24" t="n">
        <v>0</v>
      </c>
      <c r="J24" t="n">
        <v>3</v>
      </c>
      <c r="K24" t="n">
        <v>0</v>
      </c>
      <c r="L24" t="n">
        <v>0</v>
      </c>
      <c r="M24" t="n">
        <v>0</v>
      </c>
      <c r="N24" t="n">
        <v>0</v>
      </c>
      <c r="O24" t="n">
        <v>3</v>
      </c>
      <c r="P24" t="n">
        <v>0</v>
      </c>
      <c r="Q24" t="n">
        <v>3</v>
      </c>
      <c r="R24" s="2" t="inlineStr">
        <is>
          <t>Granticka
Harticka
Knottrig blåslav</t>
        </is>
      </c>
      <c r="S24">
        <f>HYPERLINK("https://klasma.github.io/Logging_2584/artfynd/A 42509-2020 artfynd.xlsx", "A 42509-2020")</f>
        <v/>
      </c>
      <c r="T24">
        <f>HYPERLINK("https://klasma.github.io/Logging_2584/kartor/A 42509-2020 karta.png", "A 42509-2020")</f>
        <v/>
      </c>
      <c r="V24">
        <f>HYPERLINK("https://klasma.github.io/Logging_2584/klagomål/A 42509-2020 FSC-klagomål.docx", "A 42509-2020")</f>
        <v/>
      </c>
      <c r="W24">
        <f>HYPERLINK("https://klasma.github.io/Logging_2584/klagomålsmail/A 42509-2020 FSC-klagomål mail.docx", "A 42509-2020")</f>
        <v/>
      </c>
      <c r="X24">
        <f>HYPERLINK("https://klasma.github.io/Logging_2584/tillsyn/A 42509-2020 tillsynsbegäran.docx", "A 42509-2020")</f>
        <v/>
      </c>
      <c r="Y24">
        <f>HYPERLINK("https://klasma.github.io/Logging_2584/tillsynsmail/A 42509-2020 tillsynsbegäran mail.docx", "A 42509-2020")</f>
        <v/>
      </c>
    </row>
    <row r="25" ht="15" customHeight="1">
      <c r="A25" t="inlineStr">
        <is>
          <t>A 17705-2023</t>
        </is>
      </c>
      <c r="B25" s="1" t="n">
        <v>45035</v>
      </c>
      <c r="C25" s="1" t="n">
        <v>45875</v>
      </c>
      <c r="D25" t="inlineStr">
        <is>
          <t>NORRBOTTENS LÄN</t>
        </is>
      </c>
      <c r="E25" t="inlineStr">
        <is>
          <t>KIRUNA</t>
        </is>
      </c>
      <c r="F25" t="inlineStr">
        <is>
          <t>Allmännings- och besparingsskogar</t>
        </is>
      </c>
      <c r="G25" t="n">
        <v>58.9</v>
      </c>
      <c r="H25" t="n">
        <v>0</v>
      </c>
      <c r="I25" t="n">
        <v>1</v>
      </c>
      <c r="J25" t="n">
        <v>1</v>
      </c>
      <c r="K25" t="n">
        <v>1</v>
      </c>
      <c r="L25" t="n">
        <v>0</v>
      </c>
      <c r="M25" t="n">
        <v>0</v>
      </c>
      <c r="N25" t="n">
        <v>0</v>
      </c>
      <c r="O25" t="n">
        <v>2</v>
      </c>
      <c r="P25" t="n">
        <v>1</v>
      </c>
      <c r="Q25" t="n">
        <v>3</v>
      </c>
      <c r="R25" s="2" t="inlineStr">
        <is>
          <t>Fläckporing
Orange taggsvamp
Dropptaggsvamp</t>
        </is>
      </c>
      <c r="S25">
        <f>HYPERLINK("https://klasma.github.io/Logging_2584/artfynd/A 17705-2023 artfynd.xlsx", "A 17705-2023")</f>
        <v/>
      </c>
      <c r="T25">
        <f>HYPERLINK("https://klasma.github.io/Logging_2584/kartor/A 17705-2023 karta.png", "A 17705-2023")</f>
        <v/>
      </c>
      <c r="V25">
        <f>HYPERLINK("https://klasma.github.io/Logging_2584/klagomål/A 17705-2023 FSC-klagomål.docx", "A 17705-2023")</f>
        <v/>
      </c>
      <c r="W25">
        <f>HYPERLINK("https://klasma.github.io/Logging_2584/klagomålsmail/A 17705-2023 FSC-klagomål mail.docx", "A 17705-2023")</f>
        <v/>
      </c>
      <c r="X25">
        <f>HYPERLINK("https://klasma.github.io/Logging_2584/tillsyn/A 17705-2023 tillsynsbegäran.docx", "A 17705-2023")</f>
        <v/>
      </c>
      <c r="Y25">
        <f>HYPERLINK("https://klasma.github.io/Logging_2584/tillsynsmail/A 17705-2023 tillsynsbegäran mail.docx", "A 17705-2023")</f>
        <v/>
      </c>
    </row>
    <row r="26" ht="15" customHeight="1">
      <c r="A26" t="inlineStr">
        <is>
          <t>A 53309-2023</t>
        </is>
      </c>
      <c r="B26" s="1" t="n">
        <v>45229</v>
      </c>
      <c r="C26" s="1" t="n">
        <v>45875</v>
      </c>
      <c r="D26" t="inlineStr">
        <is>
          <t>NORRBOTTENS LÄN</t>
        </is>
      </c>
      <c r="E26" t="inlineStr">
        <is>
          <t>KIRUNA</t>
        </is>
      </c>
      <c r="G26" t="n">
        <v>1.6</v>
      </c>
      <c r="H26" t="n">
        <v>3</v>
      </c>
      <c r="I26" t="n">
        <v>0</v>
      </c>
      <c r="J26" t="n">
        <v>1</v>
      </c>
      <c r="K26" t="n">
        <v>0</v>
      </c>
      <c r="L26" t="n">
        <v>0</v>
      </c>
      <c r="M26" t="n">
        <v>0</v>
      </c>
      <c r="N26" t="n">
        <v>0</v>
      </c>
      <c r="O26" t="n">
        <v>1</v>
      </c>
      <c r="P26" t="n">
        <v>0</v>
      </c>
      <c r="Q26" t="n">
        <v>3</v>
      </c>
      <c r="R26" s="2" t="inlineStr">
        <is>
          <t>Havsörn
Fiskgjuse
Grönsiska</t>
        </is>
      </c>
      <c r="S26">
        <f>HYPERLINK("https://klasma.github.io/Logging_2584/artfynd/A 53309-2023 artfynd.xlsx", "A 53309-2023")</f>
        <v/>
      </c>
      <c r="T26">
        <f>HYPERLINK("https://klasma.github.io/Logging_2584/kartor/A 53309-2023 karta.png", "A 53309-2023")</f>
        <v/>
      </c>
      <c r="V26">
        <f>HYPERLINK("https://klasma.github.io/Logging_2584/klagomål/A 53309-2023 FSC-klagomål.docx", "A 53309-2023")</f>
        <v/>
      </c>
      <c r="W26">
        <f>HYPERLINK("https://klasma.github.io/Logging_2584/klagomålsmail/A 53309-2023 FSC-klagomål mail.docx", "A 53309-2023")</f>
        <v/>
      </c>
      <c r="X26">
        <f>HYPERLINK("https://klasma.github.io/Logging_2584/tillsyn/A 53309-2023 tillsynsbegäran.docx", "A 53309-2023")</f>
        <v/>
      </c>
      <c r="Y26">
        <f>HYPERLINK("https://klasma.github.io/Logging_2584/tillsynsmail/A 53309-2023 tillsynsbegäran mail.docx", "A 53309-2023")</f>
        <v/>
      </c>
      <c r="Z26">
        <f>HYPERLINK("https://klasma.github.io/Logging_2584/fåglar/A 53309-2023 prioriterade fågelarter.docx", "A 53309-2023")</f>
        <v/>
      </c>
    </row>
    <row r="27" ht="15" customHeight="1">
      <c r="A27" t="inlineStr">
        <is>
          <t>A 20780-2025</t>
        </is>
      </c>
      <c r="B27" s="1" t="n">
        <v>45776</v>
      </c>
      <c r="C27" s="1" t="n">
        <v>45875</v>
      </c>
      <c r="D27" t="inlineStr">
        <is>
          <t>NORRBOTTENS LÄN</t>
        </is>
      </c>
      <c r="E27" t="inlineStr">
        <is>
          <t>KIRUNA</t>
        </is>
      </c>
      <c r="F27" t="inlineStr">
        <is>
          <t>Sveaskog</t>
        </is>
      </c>
      <c r="G27" t="n">
        <v>5.7</v>
      </c>
      <c r="H27" t="n">
        <v>1</v>
      </c>
      <c r="I27" t="n">
        <v>2</v>
      </c>
      <c r="J27" t="n">
        <v>1</v>
      </c>
      <c r="K27" t="n">
        <v>0</v>
      </c>
      <c r="L27" t="n">
        <v>0</v>
      </c>
      <c r="M27" t="n">
        <v>0</v>
      </c>
      <c r="N27" t="n">
        <v>0</v>
      </c>
      <c r="O27" t="n">
        <v>1</v>
      </c>
      <c r="P27" t="n">
        <v>0</v>
      </c>
      <c r="Q27" t="n">
        <v>3</v>
      </c>
      <c r="R27" s="2" t="inlineStr">
        <is>
          <t>Garnlav
Lappranunkel
Stuplav</t>
        </is>
      </c>
      <c r="S27">
        <f>HYPERLINK("https://klasma.github.io/Logging_252584/artfynd/A 20780-2025 artfynd.xlsx", "A 20780-2025")</f>
        <v/>
      </c>
      <c r="T27">
        <f>HYPERLINK("https://klasma.github.io/Logging_252584/kartor/A 20780-2025 karta.png", "A 20780-2025")</f>
        <v/>
      </c>
      <c r="V27">
        <f>HYPERLINK("https://klasma.github.io/Logging_252584/klagomål/A 20780-2025 FSC-klagomål.docx", "A 20780-2025")</f>
        <v/>
      </c>
      <c r="W27">
        <f>HYPERLINK("https://klasma.github.io/Logging_252584/klagomålsmail/A 20780-2025 FSC-klagomål mail.docx", "A 20780-2025")</f>
        <v/>
      </c>
      <c r="X27">
        <f>HYPERLINK("https://klasma.github.io/Logging_252584/tillsyn/A 20780-2025 tillsynsbegäran.docx", "A 20780-2025")</f>
        <v/>
      </c>
      <c r="Y27">
        <f>HYPERLINK("https://klasma.github.io/Logging_252584/tillsynsmail/A 20780-2025 tillsynsbegäran mail.docx", "A 20780-2025")</f>
        <v/>
      </c>
    </row>
    <row r="28" ht="15" customHeight="1">
      <c r="A28" t="inlineStr">
        <is>
          <t>A 60777-2019</t>
        </is>
      </c>
      <c r="B28" s="1" t="n">
        <v>43777</v>
      </c>
      <c r="C28" s="1" t="n">
        <v>45875</v>
      </c>
      <c r="D28" t="inlineStr">
        <is>
          <t>NORRBOTTENS LÄN</t>
        </is>
      </c>
      <c r="E28" t="inlineStr">
        <is>
          <t>KIRUNA</t>
        </is>
      </c>
      <c r="G28" t="n">
        <v>4.9</v>
      </c>
      <c r="H28" t="n">
        <v>0</v>
      </c>
      <c r="I28" t="n">
        <v>0</v>
      </c>
      <c r="J28" t="n">
        <v>2</v>
      </c>
      <c r="K28" t="n">
        <v>0</v>
      </c>
      <c r="L28" t="n">
        <v>0</v>
      </c>
      <c r="M28" t="n">
        <v>0</v>
      </c>
      <c r="N28" t="n">
        <v>0</v>
      </c>
      <c r="O28" t="n">
        <v>2</v>
      </c>
      <c r="P28" t="n">
        <v>0</v>
      </c>
      <c r="Q28" t="n">
        <v>2</v>
      </c>
      <c r="R28" s="2" t="inlineStr">
        <is>
          <t>Granticka
Ullticka</t>
        </is>
      </c>
      <c r="S28">
        <f>HYPERLINK("https://klasma.github.io/Logging_2584/artfynd/A 60777-2019 artfynd.xlsx", "A 60777-2019")</f>
        <v/>
      </c>
      <c r="T28">
        <f>HYPERLINK("https://klasma.github.io/Logging_2584/kartor/A 60777-2019 karta.png", "A 60777-2019")</f>
        <v/>
      </c>
      <c r="V28">
        <f>HYPERLINK("https://klasma.github.io/Logging_2584/klagomål/A 60777-2019 FSC-klagomål.docx", "A 60777-2019")</f>
        <v/>
      </c>
      <c r="W28">
        <f>HYPERLINK("https://klasma.github.io/Logging_2584/klagomålsmail/A 60777-2019 FSC-klagomål mail.docx", "A 60777-2019")</f>
        <v/>
      </c>
      <c r="X28">
        <f>HYPERLINK("https://klasma.github.io/Logging_2584/tillsyn/A 60777-2019 tillsynsbegäran.docx", "A 60777-2019")</f>
        <v/>
      </c>
      <c r="Y28">
        <f>HYPERLINK("https://klasma.github.io/Logging_2584/tillsynsmail/A 60777-2019 tillsynsbegäran mail.docx", "A 60777-2019")</f>
        <v/>
      </c>
    </row>
    <row r="29" ht="15" customHeight="1">
      <c r="A29" t="inlineStr">
        <is>
          <t>A 6890-2021</t>
        </is>
      </c>
      <c r="B29" s="1" t="n">
        <v>44237</v>
      </c>
      <c r="C29" s="1" t="n">
        <v>45875</v>
      </c>
      <c r="D29" t="inlineStr">
        <is>
          <t>NORRBOTTENS LÄN</t>
        </is>
      </c>
      <c r="E29" t="inlineStr">
        <is>
          <t>KIRUNA</t>
        </is>
      </c>
      <c r="G29" t="n">
        <v>3.9</v>
      </c>
      <c r="H29" t="n">
        <v>0</v>
      </c>
      <c r="I29" t="n">
        <v>1</v>
      </c>
      <c r="J29" t="n">
        <v>1</v>
      </c>
      <c r="K29" t="n">
        <v>0</v>
      </c>
      <c r="L29" t="n">
        <v>0</v>
      </c>
      <c r="M29" t="n">
        <v>0</v>
      </c>
      <c r="N29" t="n">
        <v>0</v>
      </c>
      <c r="O29" t="n">
        <v>1</v>
      </c>
      <c r="P29" t="n">
        <v>0</v>
      </c>
      <c r="Q29" t="n">
        <v>2</v>
      </c>
      <c r="R29" s="2" t="inlineStr">
        <is>
          <t>Vitplätt
Blodticka</t>
        </is>
      </c>
      <c r="S29">
        <f>HYPERLINK("https://klasma.github.io/Logging_2584/artfynd/A 6890-2021 artfynd.xlsx", "A 6890-2021")</f>
        <v/>
      </c>
      <c r="T29">
        <f>HYPERLINK("https://klasma.github.io/Logging_2584/kartor/A 6890-2021 karta.png", "A 6890-2021")</f>
        <v/>
      </c>
      <c r="V29">
        <f>HYPERLINK("https://klasma.github.io/Logging_2584/klagomål/A 6890-2021 FSC-klagomål.docx", "A 6890-2021")</f>
        <v/>
      </c>
      <c r="W29">
        <f>HYPERLINK("https://klasma.github.io/Logging_2584/klagomålsmail/A 6890-2021 FSC-klagomål mail.docx", "A 6890-2021")</f>
        <v/>
      </c>
      <c r="X29">
        <f>HYPERLINK("https://klasma.github.io/Logging_2584/tillsyn/A 6890-2021 tillsynsbegäran.docx", "A 6890-2021")</f>
        <v/>
      </c>
      <c r="Y29">
        <f>HYPERLINK("https://klasma.github.io/Logging_2584/tillsynsmail/A 6890-2021 tillsynsbegäran mail.docx", "A 6890-2021")</f>
        <v/>
      </c>
    </row>
    <row r="30" ht="15" customHeight="1">
      <c r="A30" t="inlineStr">
        <is>
          <t>A 62435-2022</t>
        </is>
      </c>
      <c r="B30" s="1" t="n">
        <v>44916</v>
      </c>
      <c r="C30" s="1" t="n">
        <v>45875</v>
      </c>
      <c r="D30" t="inlineStr">
        <is>
          <t>NORRBOTTENS LÄN</t>
        </is>
      </c>
      <c r="E30" t="inlineStr">
        <is>
          <t>KIRUNA</t>
        </is>
      </c>
      <c r="G30" t="n">
        <v>13.3</v>
      </c>
      <c r="H30" t="n">
        <v>0</v>
      </c>
      <c r="I30" t="n">
        <v>0</v>
      </c>
      <c r="J30" t="n">
        <v>2</v>
      </c>
      <c r="K30" t="n">
        <v>0</v>
      </c>
      <c r="L30" t="n">
        <v>0</v>
      </c>
      <c r="M30" t="n">
        <v>0</v>
      </c>
      <c r="N30" t="n">
        <v>0</v>
      </c>
      <c r="O30" t="n">
        <v>2</v>
      </c>
      <c r="P30" t="n">
        <v>0</v>
      </c>
      <c r="Q30" t="n">
        <v>2</v>
      </c>
      <c r="R30" s="2" t="inlineStr">
        <is>
          <t>Harticka
Rosenticka</t>
        </is>
      </c>
      <c r="S30">
        <f>HYPERLINK("https://klasma.github.io/Logging_2584/artfynd/A 62435-2022 artfynd.xlsx", "A 62435-2022")</f>
        <v/>
      </c>
      <c r="T30">
        <f>HYPERLINK("https://klasma.github.io/Logging_2584/kartor/A 62435-2022 karta.png", "A 62435-2022")</f>
        <v/>
      </c>
      <c r="V30">
        <f>HYPERLINK("https://klasma.github.io/Logging_2584/klagomål/A 62435-2022 FSC-klagomål.docx", "A 62435-2022")</f>
        <v/>
      </c>
      <c r="W30">
        <f>HYPERLINK("https://klasma.github.io/Logging_2584/klagomålsmail/A 62435-2022 FSC-klagomål mail.docx", "A 62435-2022")</f>
        <v/>
      </c>
      <c r="X30">
        <f>HYPERLINK("https://klasma.github.io/Logging_2584/tillsyn/A 62435-2022 tillsynsbegäran.docx", "A 62435-2022")</f>
        <v/>
      </c>
      <c r="Y30">
        <f>HYPERLINK("https://klasma.github.io/Logging_2584/tillsynsmail/A 62435-2022 tillsynsbegäran mail.docx", "A 62435-2022")</f>
        <v/>
      </c>
    </row>
    <row r="31" ht="15" customHeight="1">
      <c r="A31" t="inlineStr">
        <is>
          <t>A 64829-2023</t>
        </is>
      </c>
      <c r="B31" s="1" t="n">
        <v>45281</v>
      </c>
      <c r="C31" s="1" t="n">
        <v>45875</v>
      </c>
      <c r="D31" t="inlineStr">
        <is>
          <t>NORRBOTTENS LÄN</t>
        </is>
      </c>
      <c r="E31" t="inlineStr">
        <is>
          <t>KIRUNA</t>
        </is>
      </c>
      <c r="G31" t="n">
        <v>31.7</v>
      </c>
      <c r="H31" t="n">
        <v>1</v>
      </c>
      <c r="I31" t="n">
        <v>0</v>
      </c>
      <c r="J31" t="n">
        <v>1</v>
      </c>
      <c r="K31" t="n">
        <v>0</v>
      </c>
      <c r="L31" t="n">
        <v>0</v>
      </c>
      <c r="M31" t="n">
        <v>0</v>
      </c>
      <c r="N31" t="n">
        <v>0</v>
      </c>
      <c r="O31" t="n">
        <v>1</v>
      </c>
      <c r="P31" t="n">
        <v>0</v>
      </c>
      <c r="Q31" t="n">
        <v>2</v>
      </c>
      <c r="R31" s="2" t="inlineStr">
        <is>
          <t>Månlåsbräken
Mattlummer</t>
        </is>
      </c>
      <c r="S31">
        <f>HYPERLINK("https://klasma.github.io/Logging_2584/artfynd/A 64829-2023 artfynd.xlsx", "A 64829-2023")</f>
        <v/>
      </c>
      <c r="T31">
        <f>HYPERLINK("https://klasma.github.io/Logging_2584/kartor/A 64829-2023 karta.png", "A 64829-2023")</f>
        <v/>
      </c>
      <c r="V31">
        <f>HYPERLINK("https://klasma.github.io/Logging_2584/klagomål/A 64829-2023 FSC-klagomål.docx", "A 64829-2023")</f>
        <v/>
      </c>
      <c r="W31">
        <f>HYPERLINK("https://klasma.github.io/Logging_2584/klagomålsmail/A 64829-2023 FSC-klagomål mail.docx", "A 64829-2023")</f>
        <v/>
      </c>
      <c r="X31">
        <f>HYPERLINK("https://klasma.github.io/Logging_2584/tillsyn/A 64829-2023 tillsynsbegäran.docx", "A 64829-2023")</f>
        <v/>
      </c>
      <c r="Y31">
        <f>HYPERLINK("https://klasma.github.io/Logging_2584/tillsynsmail/A 64829-2023 tillsynsbegäran mail.docx", "A 64829-2023")</f>
        <v/>
      </c>
    </row>
    <row r="32" ht="15" customHeight="1">
      <c r="A32" t="inlineStr">
        <is>
          <t>A 4367-2024</t>
        </is>
      </c>
      <c r="B32" s="1" t="n">
        <v>45326</v>
      </c>
      <c r="C32" s="1" t="n">
        <v>45875</v>
      </c>
      <c r="D32" t="inlineStr">
        <is>
          <t>NORRBOTTENS LÄN</t>
        </is>
      </c>
      <c r="E32" t="inlineStr">
        <is>
          <t>KIRUNA</t>
        </is>
      </c>
      <c r="G32" t="n">
        <v>7.5</v>
      </c>
      <c r="H32" t="n">
        <v>0</v>
      </c>
      <c r="I32" t="n">
        <v>0</v>
      </c>
      <c r="J32" t="n">
        <v>2</v>
      </c>
      <c r="K32" t="n">
        <v>0</v>
      </c>
      <c r="L32" t="n">
        <v>0</v>
      </c>
      <c r="M32" t="n">
        <v>0</v>
      </c>
      <c r="N32" t="n">
        <v>0</v>
      </c>
      <c r="O32" t="n">
        <v>2</v>
      </c>
      <c r="P32" t="n">
        <v>0</v>
      </c>
      <c r="Q32" t="n">
        <v>2</v>
      </c>
      <c r="R32" s="2" t="inlineStr">
        <is>
          <t>Granticka
Tallticka</t>
        </is>
      </c>
      <c r="S32">
        <f>HYPERLINK("https://klasma.github.io/Logging_2584/artfynd/A 4367-2024 artfynd.xlsx", "A 4367-2024")</f>
        <v/>
      </c>
      <c r="T32">
        <f>HYPERLINK("https://klasma.github.io/Logging_2584/kartor/A 4367-2024 karta.png", "A 4367-2024")</f>
        <v/>
      </c>
      <c r="V32">
        <f>HYPERLINK("https://klasma.github.io/Logging_2584/klagomål/A 4367-2024 FSC-klagomål.docx", "A 4367-2024")</f>
        <v/>
      </c>
      <c r="W32">
        <f>HYPERLINK("https://klasma.github.io/Logging_2584/klagomålsmail/A 4367-2024 FSC-klagomål mail.docx", "A 4367-2024")</f>
        <v/>
      </c>
      <c r="X32">
        <f>HYPERLINK("https://klasma.github.io/Logging_2584/tillsyn/A 4367-2024 tillsynsbegäran.docx", "A 4367-2024")</f>
        <v/>
      </c>
      <c r="Y32">
        <f>HYPERLINK("https://klasma.github.io/Logging_2584/tillsynsmail/A 4367-2024 tillsynsbegäran mail.docx", "A 4367-2024")</f>
        <v/>
      </c>
    </row>
    <row r="33" ht="15" customHeight="1">
      <c r="A33" t="inlineStr">
        <is>
          <t>A 20758-2025</t>
        </is>
      </c>
      <c r="B33" s="1" t="n">
        <v>45776</v>
      </c>
      <c r="C33" s="1" t="n">
        <v>45875</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45875</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45875</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45875</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45875</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45875</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45875</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45875</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45875</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45875</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45875</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45875</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45875</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45875</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45875</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45875</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45875</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45875</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45875</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45875</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45875</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45875</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45875</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45875</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45875</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45875</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45875</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45875</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45875</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45875</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45875</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45875</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45875</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45875</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45875</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45875</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45875</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45875</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45875</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45875</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45875</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45875</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45875</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45875</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45875</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45875</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45875</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45875</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45875</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45875</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45875</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45875</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45875</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45875</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45875</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45875</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45875</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45875</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45875</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45875</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45875</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45875</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45875</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45875</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45875</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45875</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45875</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45875</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45875</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45875</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45875</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45875</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45875</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45875</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45875</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45875</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45875</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45875</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45875</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45875</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45875</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45875</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45875</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45875</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45875</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45875</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45875</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45875</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45875</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45875</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45875</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45875</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45875</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45875</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45875</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45875</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45875</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45875</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45875</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45875</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45875</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45875</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45875</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45875</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45875</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45875</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45875</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45875</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45875</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33183-2025</t>
        </is>
      </c>
      <c r="B142" s="1" t="n">
        <v>45840</v>
      </c>
      <c r="C142" s="1" t="n">
        <v>45875</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row r="143" ht="15" customHeight="1">
      <c r="A143" t="inlineStr">
        <is>
          <t>A 34663-2025</t>
        </is>
      </c>
      <c r="B143" s="1" t="n">
        <v>45848</v>
      </c>
      <c r="C143" s="1" t="n">
        <v>45875</v>
      </c>
      <c r="D143" t="inlineStr">
        <is>
          <t>NORRBOTTENS LÄN</t>
        </is>
      </c>
      <c r="E143" t="inlineStr">
        <is>
          <t>KIRUNA</t>
        </is>
      </c>
      <c r="G143" t="n">
        <v>5.1</v>
      </c>
      <c r="H143" t="n">
        <v>0</v>
      </c>
      <c r="I143" t="n">
        <v>0</v>
      </c>
      <c r="J143" t="n">
        <v>0</v>
      </c>
      <c r="K143" t="n">
        <v>0</v>
      </c>
      <c r="L143" t="n">
        <v>0</v>
      </c>
      <c r="M143" t="n">
        <v>0</v>
      </c>
      <c r="N143" t="n">
        <v>0</v>
      </c>
      <c r="O143" t="n">
        <v>0</v>
      </c>
      <c r="P143" t="n">
        <v>0</v>
      </c>
      <c r="Q143" t="n">
        <v>0</v>
      </c>
      <c r="R143" s="2" t="inlineStr"/>
    </row>
    <row r="144">
      <c r="A144" t="inlineStr">
        <is>
          <t>A 34664-2025</t>
        </is>
      </c>
      <c r="B144" s="1" t="n">
        <v>45848</v>
      </c>
      <c r="C144" s="1" t="n">
        <v>45875</v>
      </c>
      <c r="D144" t="inlineStr">
        <is>
          <t>NORRBOTTENS LÄN</t>
        </is>
      </c>
      <c r="E144" t="inlineStr">
        <is>
          <t>KIRUNA</t>
        </is>
      </c>
      <c r="G144" t="n">
        <v>8.4</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2025-08-06T19:56:07Z</dcterms:created>
  <dcterms:modified xmlns:dcterms="http://purl.org/dc/terms/" xmlns:xsi="http://www.w3.org/2001/XMLSchema-instance" xsi:type="dcterms:W3CDTF">2025-08-06T19:56:08Z</dcterms:modified>
</cp:coreProperties>
</file>