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46292</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46292</v>
      </c>
      <c r="F3" t="inlineStr">
        <is>
          <t>NORRBOTTENS LÄN</t>
        </is>
      </c>
      <c r="G3" t="inlineStr">
        <is>
          <t>KIRUNA</t>
        </is>
      </c>
      <c r="I3" t="n">
        <v>25.3</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46292</v>
      </c>
      <c r="F4" t="inlineStr">
        <is>
          <t>NORRBOTTENS LÄN</t>
        </is>
      </c>
      <c r="G4" t="inlineStr">
        <is>
          <t>KIRUNA</t>
        </is>
      </c>
      <c r="I4" t="n">
        <v>19.7</v>
      </c>
      <c r="J4" t="n">
        <v>4</v>
      </c>
      <c r="K4" t="n">
        <v>4</v>
      </c>
      <c r="L4" t="n">
        <v>16</v>
      </c>
      <c r="M4" t="n">
        <v>1</v>
      </c>
      <c r="N4" t="n">
        <v>0</v>
      </c>
      <c r="O4" t="n">
        <v>0</v>
      </c>
      <c r="P4" t="n">
        <v>0</v>
      </c>
      <c r="Q4" t="n">
        <v>17</v>
      </c>
      <c r="R4" t="n">
        <v>1</v>
      </c>
      <c r="S4" t="n">
        <v>22</v>
      </c>
      <c r="T4" t="n">
        <v>36</v>
      </c>
      <c r="U4" t="n">
        <v>36</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18726-2024</t>
        </is>
      </c>
      <c r="B5" t="inlineStr">
        <is>
          <t>avverkningsanmälan</t>
        </is>
      </c>
      <c r="C5" t="inlineStr">
        <is>
          <t>Föryngringsavverkning</t>
        </is>
      </c>
      <c r="D5" s="1" t="n">
        <v>45426</v>
      </c>
      <c r="E5" s="1" t="n">
        <v>46292</v>
      </c>
      <c r="F5" t="inlineStr">
        <is>
          <t>NORRBOTTENS LÄN</t>
        </is>
      </c>
      <c r="G5" t="inlineStr">
        <is>
          <t>KIRUNA</t>
        </is>
      </c>
      <c r="H5" t="inlineStr">
        <is>
          <t>Allmännings- och besparingsskogar</t>
        </is>
      </c>
      <c r="I5" t="n">
        <v>4.9</v>
      </c>
      <c r="J5" t="n">
        <v>1</v>
      </c>
      <c r="K5" t="n">
        <v>0</v>
      </c>
      <c r="L5" t="n">
        <v>11</v>
      </c>
      <c r="M5" t="n">
        <v>7</v>
      </c>
      <c r="N5" t="n">
        <v>0</v>
      </c>
      <c r="O5" t="n">
        <v>0</v>
      </c>
      <c r="P5" t="n">
        <v>0</v>
      </c>
      <c r="Q5" t="n">
        <v>18</v>
      </c>
      <c r="R5" t="n">
        <v>7</v>
      </c>
      <c r="S5" t="n">
        <v>18</v>
      </c>
      <c r="T5" t="n">
        <v>88</v>
      </c>
      <c r="U5" t="n">
        <v>17</v>
      </c>
      <c r="V5"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5">
        <f>HYPERLINK("https://klasma.github.io/Logging_2584/artfynd/A 18726-2024 artfynd.xlsx", "A 18726-2024")</f>
        <v/>
      </c>
      <c r="X5">
        <f>HYPERLINK("https://klasma.github.io/Logging_2584/kartor/A 18726-2024 karta.png", "A 18726-2024")</f>
        <v/>
      </c>
      <c r="Y5">
        <f>HYPERLINK("https://klasma.github.io/Logging_2584/kartor_geotiff/A 18726-2024 georefererad karta.tif", "A 18726-2024")</f>
        <v/>
      </c>
      <c r="AA5">
        <f>HYPERLINK("https://klasma.github.io/Logging_2584/klagomål/A 18726-2024 FSC-klagomål.docx", "A 18726-2024")</f>
        <v/>
      </c>
      <c r="AB5">
        <f>HYPERLINK("https://klasma.github.io/Logging_2584/klagomålsmail/A 18726-2024 FSC-klagomål mail.docx", "A 18726-2024")</f>
        <v/>
      </c>
      <c r="AC5">
        <f>HYPERLINK("https://klasma.github.io/Logging_2584/tillsyn/A 18726-2024 tillsynsbegäran.docx", "A 18726-2024")</f>
        <v/>
      </c>
      <c r="AD5">
        <f>HYPERLINK("https://klasma.github.io/Logging_2584/tillsynsmail/A 18726-2024 tillsynsbegäran mail.docx", "A 18726-2024")</f>
        <v/>
      </c>
      <c r="AE5">
        <f>HYPERLINK("https://klasma.github.io/Logging_2584/fåglar/A 18726-2024 prioriterade fågelarter.docx", "A 18726-2024")</f>
        <v/>
      </c>
    </row>
    <row r="6" ht="15" customHeight="1">
      <c r="A6" t="inlineStr">
        <is>
          <t>S 698-2025</t>
        </is>
      </c>
      <c r="B6" t="inlineStr">
        <is>
          <t>samrådsanmälan</t>
        </is>
      </c>
      <c r="C6" t="inlineStr">
        <is>
          <t>Traktorväg</t>
        </is>
      </c>
      <c r="D6" s="1" t="n">
        <v>45720</v>
      </c>
      <c r="E6" s="1" t="n">
        <v>46292</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46292</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46292</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46292</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29171-2026</t>
        </is>
      </c>
      <c r="B10" t="inlineStr">
        <is>
          <t>avverkningsanmälan</t>
        </is>
      </c>
      <c r="C10" t="inlineStr">
        <is>
          <t>Föryngringsavverkning</t>
        </is>
      </c>
      <c r="D10" s="1" t="n">
        <v>46202</v>
      </c>
      <c r="E10" s="1" t="n">
        <v>46292</v>
      </c>
      <c r="F10" t="inlineStr">
        <is>
          <t>NORRBOTTENS LÄN</t>
        </is>
      </c>
      <c r="G10" t="inlineStr">
        <is>
          <t>KIRUNA</t>
        </is>
      </c>
      <c r="I10" t="n">
        <v>4.9</v>
      </c>
      <c r="J10" t="n">
        <v>0</v>
      </c>
      <c r="K10" t="n">
        <v>0</v>
      </c>
      <c r="L10" t="n">
        <v>4</v>
      </c>
      <c r="M10" t="n">
        <v>1</v>
      </c>
      <c r="N10" t="n">
        <v>0</v>
      </c>
      <c r="O10" t="n">
        <v>0</v>
      </c>
      <c r="P10" t="n">
        <v>0</v>
      </c>
      <c r="Q10" t="n">
        <v>5</v>
      </c>
      <c r="R10" t="n">
        <v>1</v>
      </c>
      <c r="S10" t="n">
        <v>7</v>
      </c>
      <c r="T10" t="n">
        <v>8</v>
      </c>
      <c r="U10" t="n">
        <v>8</v>
      </c>
      <c r="V10" s="2" t="inlineStr">
        <is>
          <t>Garnlav
Knottrig blåslav
Talltagel
Tallticka
Vitplätt
Hultbräken
Ormbär</t>
        </is>
      </c>
      <c r="W10">
        <f>HYPERLINK("https://klasma.github.io/Logging_2584/artfynd/A 29171-2026 artfynd.xlsx", "A 29171-2026")</f>
        <v/>
      </c>
      <c r="X10">
        <f>HYPERLINK("https://klasma.github.io/Logging_2584/kartor/A 29171-2026 karta.png", "A 29171-2026")</f>
        <v/>
      </c>
      <c r="Y10">
        <f>HYPERLINK("https://klasma.github.io/Logging_2584/kartor_geotiff/A 29171-2026 georefererad karta.tif", "A 29171-2026")</f>
        <v/>
      </c>
      <c r="AA10">
        <f>HYPERLINK("https://klasma.github.io/Logging_2584/klagomål/A 29171-2026 FSC-klagomål.docx", "A 29171-2026")</f>
        <v/>
      </c>
      <c r="AB10">
        <f>HYPERLINK("https://klasma.github.io/Logging_2584/klagomålsmail/A 29171-2026 FSC-klagomål mail.docx", "A 29171-2026")</f>
        <v/>
      </c>
      <c r="AC10">
        <f>HYPERLINK("https://klasma.github.io/Logging_2584/tillsyn/A 29171-2026 tillsynsbegäran.docx", "A 29171-2026")</f>
        <v/>
      </c>
      <c r="AD10">
        <f>HYPERLINK("https://klasma.github.io/Logging_2584/tillsynsmail/A 29171-2026 tillsynsbegäran mail.docx", "A 29171-2026")</f>
        <v/>
      </c>
    </row>
    <row r="11" ht="15" customHeight="1">
      <c r="A11" t="inlineStr">
        <is>
          <t>A 29167-2026</t>
        </is>
      </c>
      <c r="B11" t="inlineStr">
        <is>
          <t>avverkningsanmälan</t>
        </is>
      </c>
      <c r="C11" t="inlineStr">
        <is>
          <t>Föryngringsavverkning</t>
        </is>
      </c>
      <c r="D11" s="1" t="n">
        <v>46202</v>
      </c>
      <c r="E11" s="1" t="n">
        <v>46292</v>
      </c>
      <c r="F11" t="inlineStr">
        <is>
          <t>NORRBOTTENS LÄN</t>
        </is>
      </c>
      <c r="G11" t="inlineStr">
        <is>
          <t>KIRUNA</t>
        </is>
      </c>
      <c r="I11" t="n">
        <v>2.3</v>
      </c>
      <c r="J11" t="n">
        <v>0</v>
      </c>
      <c r="K11" t="n">
        <v>0</v>
      </c>
      <c r="L11" t="n">
        <v>6</v>
      </c>
      <c r="M11" t="n">
        <v>0</v>
      </c>
      <c r="N11" t="n">
        <v>0</v>
      </c>
      <c r="O11" t="n">
        <v>0</v>
      </c>
      <c r="P11" t="n">
        <v>0</v>
      </c>
      <c r="Q11" t="n">
        <v>6</v>
      </c>
      <c r="R11" t="n">
        <v>0</v>
      </c>
      <c r="S11" t="n">
        <v>6</v>
      </c>
      <c r="T11" t="n">
        <v>7</v>
      </c>
      <c r="U11" t="n">
        <v>7</v>
      </c>
      <c r="V11" s="2" t="inlineStr">
        <is>
          <t>Blanksvart spiklav
Gammelgransskål
Reliktbock
Talltagel
Tallticka
Vedskivlav</t>
        </is>
      </c>
      <c r="W11">
        <f>HYPERLINK("https://klasma.github.io/Logging_2584/artfynd/A 29167-2026 artfynd.xlsx", "A 29167-2026")</f>
        <v/>
      </c>
      <c r="X11">
        <f>HYPERLINK("https://klasma.github.io/Logging_2584/kartor/A 29167-2026 karta.png", "A 29167-2026")</f>
        <v/>
      </c>
      <c r="Y11">
        <f>HYPERLINK("https://klasma.github.io/Logging_2584/kartor_geotiff/A 29167-2026 georefererad karta.tif", "A 29167-2026")</f>
        <v/>
      </c>
      <c r="AA11">
        <f>HYPERLINK("https://klasma.github.io/Logging_2584/klagomål/A 29167-2026 FSC-klagomål.docx", "A 29167-2026")</f>
        <v/>
      </c>
      <c r="AB11">
        <f>HYPERLINK("https://klasma.github.io/Logging_2584/klagomålsmail/A 29167-2026 FSC-klagomål mail.docx", "A 29167-2026")</f>
        <v/>
      </c>
      <c r="AC11">
        <f>HYPERLINK("https://klasma.github.io/Logging_2584/tillsyn/A 29167-2026 tillsynsbegäran.docx", "A 29167-2026")</f>
        <v/>
      </c>
      <c r="AD11">
        <f>HYPERLINK("https://klasma.github.io/Logging_2584/tillsynsmail/A 29167-2026 tillsynsbegäran mail.docx", "A 29167-2026")</f>
        <v/>
      </c>
    </row>
    <row r="12" ht="15" customHeight="1">
      <c r="A12" t="inlineStr">
        <is>
          <t>A 20570-2025</t>
        </is>
      </c>
      <c r="B12" t="inlineStr">
        <is>
          <t>avverkningsanmälan</t>
        </is>
      </c>
      <c r="C12" t="inlineStr">
        <is>
          <t>Föryngringsavverkning</t>
        </is>
      </c>
      <c r="D12" s="1" t="n">
        <v>45775</v>
      </c>
      <c r="E12" s="1" t="n">
        <v>46292</v>
      </c>
      <c r="F12" t="inlineStr">
        <is>
          <t>NORRBOTTENS LÄN</t>
        </is>
      </c>
      <c r="G12" t="inlineStr">
        <is>
          <t>KIRUNA</t>
        </is>
      </c>
      <c r="H12" t="inlineStr">
        <is>
          <t>Sveaskog</t>
        </is>
      </c>
      <c r="I12" t="n">
        <v>31.4</v>
      </c>
      <c r="J12" t="n">
        <v>1</v>
      </c>
      <c r="K12" t="n">
        <v>2</v>
      </c>
      <c r="L12" t="n">
        <v>2</v>
      </c>
      <c r="M12" t="n">
        <v>1</v>
      </c>
      <c r="N12" t="n">
        <v>0</v>
      </c>
      <c r="O12" t="n">
        <v>0</v>
      </c>
      <c r="P12" t="n">
        <v>0</v>
      </c>
      <c r="Q12" t="n">
        <v>3</v>
      </c>
      <c r="R12" t="n">
        <v>1</v>
      </c>
      <c r="S12" t="n">
        <v>5</v>
      </c>
      <c r="T12" t="n">
        <v>7</v>
      </c>
      <c r="U12" t="n">
        <v>0</v>
      </c>
      <c r="V12" s="2" t="inlineStr">
        <is>
          <t>Garnlav
Harticka
Knottrig blåslav
Lappranunkel
Stuplav</t>
        </is>
      </c>
      <c r="W12">
        <f>HYPERLINK("https://klasma.github.io/Logging_2584/artfynd/A 20570-2025 artfynd.xlsx", "A 20570-2025")</f>
        <v/>
      </c>
      <c r="X12">
        <f>HYPERLINK("https://klasma.github.io/Logging_2584/kartor/A 20570-2025 karta.png", "A 20570-2025")</f>
        <v/>
      </c>
      <c r="Y12">
        <f>HYPERLINK("https://klasma.github.io/Logging_2584/kartor_geotiff/A 20570-2025 georefererad karta.tif", "A 20570-2025")</f>
        <v/>
      </c>
      <c r="AA12">
        <f>HYPERLINK("https://klasma.github.io/Logging_2584/klagomål/A 20570-2025 FSC-klagomål.docx", "A 20570-2025")</f>
        <v/>
      </c>
      <c r="AB12">
        <f>HYPERLINK("https://klasma.github.io/Logging_2584/klagomålsmail/A 20570-2025 FSC-klagomål mail.docx", "A 20570-2025")</f>
        <v/>
      </c>
      <c r="AC12">
        <f>HYPERLINK("https://klasma.github.io/Logging_2584/tillsyn/A 20570-2025 tillsynsbegäran.docx", "A 20570-2025")</f>
        <v/>
      </c>
      <c r="AD12">
        <f>HYPERLINK("https://klasma.github.io/Logging_2584/tillsynsmail/A 20570-2025 tillsynsbegäran mail.docx", "A 20570-2025")</f>
        <v/>
      </c>
    </row>
    <row r="13" ht="15" customHeight="1">
      <c r="A13" t="inlineStr">
        <is>
          <t>A 24485-2026</t>
        </is>
      </c>
      <c r="B13" t="inlineStr">
        <is>
          <t>avverkningsanmälan</t>
        </is>
      </c>
      <c r="C13" t="inlineStr">
        <is>
          <t>Föryngringsavverkning</t>
        </is>
      </c>
      <c r="D13" s="1" t="n">
        <v>46170</v>
      </c>
      <c r="E13" s="1" t="n">
        <v>46292</v>
      </c>
      <c r="F13" t="inlineStr">
        <is>
          <t>NORRBOTTENS LÄN</t>
        </is>
      </c>
      <c r="G13" t="inlineStr">
        <is>
          <t>KIRUNA</t>
        </is>
      </c>
      <c r="I13" t="n">
        <v>14.8</v>
      </c>
      <c r="J13" t="n">
        <v>1</v>
      </c>
      <c r="K13" t="n">
        <v>1</v>
      </c>
      <c r="L13" t="n">
        <v>2</v>
      </c>
      <c r="M13" t="n">
        <v>1</v>
      </c>
      <c r="N13" t="n">
        <v>0</v>
      </c>
      <c r="O13" t="n">
        <v>0</v>
      </c>
      <c r="P13" t="n">
        <v>0</v>
      </c>
      <c r="Q13" t="n">
        <v>3</v>
      </c>
      <c r="R13" t="n">
        <v>1</v>
      </c>
      <c r="S13" t="n">
        <v>4</v>
      </c>
      <c r="T13" t="n">
        <v>5</v>
      </c>
      <c r="U13" t="n">
        <v>0</v>
      </c>
      <c r="V13" s="2" t="inlineStr">
        <is>
          <t>Fläckporing
Dropptaggsvamp
Vitplätt
Plattlummer</t>
        </is>
      </c>
      <c r="W13">
        <f>HYPERLINK("https://klasma.github.io/Logging_2584/artfynd/A 24485-2026 artfynd.xlsx", "A 24485-2026")</f>
        <v/>
      </c>
      <c r="X13">
        <f>HYPERLINK("https://klasma.github.io/Logging_2584/kartor/A 24485-2026 karta.png", "A 24485-2026")</f>
        <v/>
      </c>
      <c r="Y13">
        <f>HYPERLINK("https://klasma.github.io/Logging_2584/kartor_geotiff/A 24485-2026 georefererad karta.tif", "A 24485-2026")</f>
        <v/>
      </c>
      <c r="AA13">
        <f>HYPERLINK("https://klasma.github.io/Logging_2584/klagomål/A 24485-2026 FSC-klagomål.docx", "A 24485-2026")</f>
        <v/>
      </c>
      <c r="AB13">
        <f>HYPERLINK("https://klasma.github.io/Logging_2584/klagomålsmail/A 24485-2026 FSC-klagomål mail.docx", "A 24485-2026")</f>
        <v/>
      </c>
      <c r="AC13">
        <f>HYPERLINK("https://klasma.github.io/Logging_2584/tillsyn/A 24485-2026 tillsynsbegäran.docx", "A 24485-2026")</f>
        <v/>
      </c>
      <c r="AD13">
        <f>HYPERLINK("https://klasma.github.io/Logging_2584/tillsynsmail/A 24485-2026 tillsynsbegäran mail.docx", "A 24485-2026")</f>
        <v/>
      </c>
    </row>
    <row r="14" ht="15" customHeight="1">
      <c r="A14" t="inlineStr">
        <is>
          <t>A 64829-2023</t>
        </is>
      </c>
      <c r="B14" t="inlineStr">
        <is>
          <t>avverkningsanmälan</t>
        </is>
      </c>
      <c r="C14" t="inlineStr">
        <is>
          <t>Avverkning för annat ändamål</t>
        </is>
      </c>
      <c r="D14" s="1" t="n">
        <v>45281</v>
      </c>
      <c r="E14" s="1" t="n">
        <v>46292</v>
      </c>
      <c r="F14" t="inlineStr">
        <is>
          <t>NORRBOTTENS LÄN</t>
        </is>
      </c>
      <c r="G14" t="inlineStr">
        <is>
          <t>KIRUNA</t>
        </is>
      </c>
      <c r="I14" t="n">
        <v>31.7</v>
      </c>
      <c r="J14" t="n">
        <v>2</v>
      </c>
      <c r="K14" t="n">
        <v>0</v>
      </c>
      <c r="L14" t="n">
        <v>2</v>
      </c>
      <c r="M14" t="n">
        <v>0</v>
      </c>
      <c r="N14" t="n">
        <v>0</v>
      </c>
      <c r="O14" t="n">
        <v>0</v>
      </c>
      <c r="P14" t="n">
        <v>0</v>
      </c>
      <c r="Q14" t="n">
        <v>2</v>
      </c>
      <c r="R14" t="n">
        <v>0</v>
      </c>
      <c r="S14" t="n">
        <v>3</v>
      </c>
      <c r="T14" t="n">
        <v>3</v>
      </c>
      <c r="U14" t="n">
        <v>0</v>
      </c>
      <c r="V14" s="2" t="inlineStr">
        <is>
          <t>Höstlåsbräken
Månlåsbräken
Mattlummer</t>
        </is>
      </c>
      <c r="W14">
        <f>HYPERLINK("https://klasma.github.io/Logging_2584/artfynd/A 64829-2023 artfynd.xlsx", "A 64829-2023")</f>
        <v/>
      </c>
      <c r="X14">
        <f>HYPERLINK("https://klasma.github.io/Logging_2584/kartor/A 64829-2023 karta.png", "A 64829-2023")</f>
        <v/>
      </c>
      <c r="Y14">
        <f>HYPERLINK("https://klasma.github.io/Logging_2584/kartor_geotiff/A 64829-2023 georefererad karta.tif", "A 64829-2023")</f>
        <v/>
      </c>
      <c r="AA14">
        <f>HYPERLINK("https://klasma.github.io/Logging_2584/klagomål/A 64829-2023 FSC-klagomål.docx", "A 64829-2023")</f>
        <v/>
      </c>
      <c r="AB14">
        <f>HYPERLINK("https://klasma.github.io/Logging_2584/klagomålsmail/A 64829-2023 FSC-klagomål mail.docx", "A 64829-2023")</f>
        <v/>
      </c>
      <c r="AC14">
        <f>HYPERLINK("https://klasma.github.io/Logging_2584/tillsyn/A 64829-2023 tillsynsbegäran.docx", "A 64829-2023")</f>
        <v/>
      </c>
      <c r="AD14">
        <f>HYPERLINK("https://klasma.github.io/Logging_2584/tillsynsmail/A 64829-2023 tillsynsbegäran mail.docx", "A 64829-2023")</f>
        <v/>
      </c>
    </row>
    <row r="15" ht="15" customHeight="1">
      <c r="A15" t="inlineStr">
        <is>
          <t>A 22495-2024</t>
        </is>
      </c>
      <c r="B15" t="inlineStr">
        <is>
          <t>avverkningsanmälan</t>
        </is>
      </c>
      <c r="C15" t="inlineStr">
        <is>
          <t>Föryngringsavverkning</t>
        </is>
      </c>
      <c r="D15" s="1" t="n">
        <v>45447</v>
      </c>
      <c r="E15" s="1" t="n">
        <v>46292</v>
      </c>
      <c r="F15" t="inlineStr">
        <is>
          <t>NORRBOTTENS LÄN</t>
        </is>
      </c>
      <c r="G15" t="inlineStr">
        <is>
          <t>KIRUNA</t>
        </is>
      </c>
      <c r="I15" t="n">
        <v>7.1</v>
      </c>
      <c r="J15" t="n">
        <v>2</v>
      </c>
      <c r="K15" t="n">
        <v>0</v>
      </c>
      <c r="L15" t="n">
        <v>2</v>
      </c>
      <c r="M15" t="n">
        <v>1</v>
      </c>
      <c r="N15" t="n">
        <v>0</v>
      </c>
      <c r="O15" t="n">
        <v>0</v>
      </c>
      <c r="P15" t="n">
        <v>0</v>
      </c>
      <c r="Q15" t="n">
        <v>3</v>
      </c>
      <c r="R15" t="n">
        <v>1</v>
      </c>
      <c r="S15" t="n">
        <v>3</v>
      </c>
      <c r="T15" t="n">
        <v>3</v>
      </c>
      <c r="U15" t="n">
        <v>0</v>
      </c>
      <c r="V15" s="2" t="inlineStr">
        <is>
          <t>Tajgafältmätare
Blåhake
Lavskrika</t>
        </is>
      </c>
      <c r="W15">
        <f>HYPERLINK("https://klasma.github.io/Logging_2584/artfynd/A 22495-2024 artfynd.xlsx", "A 22495-2024")</f>
        <v/>
      </c>
      <c r="X15">
        <f>HYPERLINK("https://klasma.github.io/Logging_2584/kartor/A 22495-2024 karta.png", "A 22495-2024")</f>
        <v/>
      </c>
      <c r="Y15">
        <f>HYPERLINK("https://klasma.github.io/Logging_2584/kartor_geotiff/A 22495-2024 georefererad karta.tif", "A 22495-2024")</f>
        <v/>
      </c>
      <c r="AA15">
        <f>HYPERLINK("https://klasma.github.io/Logging_2584/klagomål/A 22495-2024 FSC-klagomål.docx", "A 22495-2024")</f>
        <v/>
      </c>
      <c r="AB15">
        <f>HYPERLINK("https://klasma.github.io/Logging_2584/klagomålsmail/A 22495-2024 FSC-klagomål mail.docx", "A 22495-2024")</f>
        <v/>
      </c>
      <c r="AC15">
        <f>HYPERLINK("https://klasma.github.io/Logging_2584/tillsyn/A 22495-2024 tillsynsbegäran.docx", "A 22495-2024")</f>
        <v/>
      </c>
      <c r="AD15">
        <f>HYPERLINK("https://klasma.github.io/Logging_2584/tillsynsmail/A 22495-2024 tillsynsbegäran mail.docx", "A 22495-2024")</f>
        <v/>
      </c>
      <c r="AE15">
        <f>HYPERLINK("https://klasma.github.io/Logging_2584/fåglar/A 22495-2024 prioriterade fågelarter.docx", "A 22495-2024")</f>
        <v/>
      </c>
    </row>
    <row r="16" ht="15" customHeight="1">
      <c r="A16" t="inlineStr">
        <is>
          <t>A 21183-2025</t>
        </is>
      </c>
      <c r="B16" t="inlineStr">
        <is>
          <t>avverkningsanmälan</t>
        </is>
      </c>
      <c r="C16" t="inlineStr">
        <is>
          <t>Föryngringsavverkning</t>
        </is>
      </c>
      <c r="D16" s="1" t="n">
        <v>45779</v>
      </c>
      <c r="E16" s="1" t="n">
        <v>46292</v>
      </c>
      <c r="F16" t="inlineStr">
        <is>
          <t>NORRBOTTENS LÄN</t>
        </is>
      </c>
      <c r="G16" t="inlineStr">
        <is>
          <t>KIRUNA</t>
        </is>
      </c>
      <c r="I16" t="n">
        <v>31.9</v>
      </c>
      <c r="J16" t="n">
        <v>2</v>
      </c>
      <c r="K16" t="n">
        <v>1</v>
      </c>
      <c r="L16" t="n">
        <v>2</v>
      </c>
      <c r="M16" t="n">
        <v>0</v>
      </c>
      <c r="N16" t="n">
        <v>0</v>
      </c>
      <c r="O16" t="n">
        <v>0</v>
      </c>
      <c r="P16" t="n">
        <v>0</v>
      </c>
      <c r="Q16" t="n">
        <v>2</v>
      </c>
      <c r="R16" t="n">
        <v>0</v>
      </c>
      <c r="S16" t="n">
        <v>3</v>
      </c>
      <c r="T16" t="n">
        <v>3</v>
      </c>
      <c r="U16" t="n">
        <v>0</v>
      </c>
      <c r="V16" s="2" t="inlineStr">
        <is>
          <t>Lappmes
Venhavre
Kärrtrumpetmossa</t>
        </is>
      </c>
      <c r="W16">
        <f>HYPERLINK("https://klasma.github.io/Logging_2584/artfynd/A 21183-2025 artfynd.xlsx", "A 21183-2025")</f>
        <v/>
      </c>
      <c r="X16">
        <f>HYPERLINK("https://klasma.github.io/Logging_2584/kartor/A 21183-2025 karta.png", "A 21183-2025")</f>
        <v/>
      </c>
      <c r="Y16">
        <f>HYPERLINK("https://klasma.github.io/Logging_2584/kartor_geotiff/A 21183-2025 georefererad karta.tif", "A 21183-2025")</f>
        <v/>
      </c>
      <c r="AA16">
        <f>HYPERLINK("https://klasma.github.io/Logging_2584/klagomål/A 21183-2025 FSC-klagomål.docx", "A 21183-2025")</f>
        <v/>
      </c>
      <c r="AB16">
        <f>HYPERLINK("https://klasma.github.io/Logging_2584/klagomålsmail/A 21183-2025 FSC-klagomål mail.docx", "A 21183-2025")</f>
        <v/>
      </c>
      <c r="AC16">
        <f>HYPERLINK("https://klasma.github.io/Logging_2584/tillsyn/A 21183-2025 tillsynsbegäran.docx", "A 21183-2025")</f>
        <v/>
      </c>
      <c r="AD16">
        <f>HYPERLINK("https://klasma.github.io/Logging_2584/tillsynsmail/A 21183-2025 tillsynsbegäran mail.docx", "A 21183-2025")</f>
        <v/>
      </c>
      <c r="AE16">
        <f>HYPERLINK("https://klasma.github.io/Logging_2584/fåglar/A 21183-2025 prioriterade fågelarter.docx", "A 21183-2025")</f>
        <v/>
      </c>
    </row>
    <row r="17" ht="15" customHeight="1">
      <c r="A17" t="inlineStr">
        <is>
          <t>A 53309-2023</t>
        </is>
      </c>
      <c r="B17" t="inlineStr">
        <is>
          <t>avverkningsanmälan</t>
        </is>
      </c>
      <c r="C17" t="inlineStr">
        <is>
          <t>Avverkning för annat ändamål</t>
        </is>
      </c>
      <c r="D17" s="1" t="n">
        <v>45229</v>
      </c>
      <c r="E17" s="1" t="n">
        <v>46292</v>
      </c>
      <c r="F17" t="inlineStr">
        <is>
          <t>NORRBOTTENS LÄN</t>
        </is>
      </c>
      <c r="G17" t="inlineStr">
        <is>
          <t>KIRUNA</t>
        </is>
      </c>
      <c r="I17" t="n">
        <v>1.6</v>
      </c>
      <c r="J17" t="n">
        <v>3</v>
      </c>
      <c r="K17" t="n">
        <v>0</v>
      </c>
      <c r="L17" t="n">
        <v>0</v>
      </c>
      <c r="M17" t="n">
        <v>0</v>
      </c>
      <c r="N17" t="n">
        <v>0</v>
      </c>
      <c r="O17" t="n">
        <v>0</v>
      </c>
      <c r="P17" t="n">
        <v>0</v>
      </c>
      <c r="Q17" t="n">
        <v>0</v>
      </c>
      <c r="R17" t="n">
        <v>0</v>
      </c>
      <c r="S17" t="n">
        <v>3</v>
      </c>
      <c r="T17" t="n">
        <v>3</v>
      </c>
      <c r="U17" t="n">
        <v>3</v>
      </c>
      <c r="V17" s="2" t="inlineStr">
        <is>
          <t>Fiskgjuse
Grönsiska
Havsörn</t>
        </is>
      </c>
      <c r="W17">
        <f>HYPERLINK("https://klasma.github.io/Logging_2584/artfynd/A 53309-2023 artfynd.xlsx", "A 53309-2023")</f>
        <v/>
      </c>
      <c r="X17">
        <f>HYPERLINK("https://klasma.github.io/Logging_2584/kartor/A 53309-2023 karta.png", "A 53309-2023")</f>
        <v/>
      </c>
      <c r="Y17">
        <f>HYPERLINK("https://klasma.github.io/Logging_2584/kartor_geotiff/A 53309-2023 georefererad karta.tif", "A 53309-2023")</f>
        <v/>
      </c>
      <c r="AA17">
        <f>HYPERLINK("https://klasma.github.io/Logging_2584/klagomål/A 53309-2023 FSC-klagomål.docx", "A 53309-2023")</f>
        <v/>
      </c>
      <c r="AB17">
        <f>HYPERLINK("https://klasma.github.io/Logging_2584/klagomålsmail/A 53309-2023 FSC-klagomål mail.docx", "A 53309-2023")</f>
        <v/>
      </c>
      <c r="AC17">
        <f>HYPERLINK("https://klasma.github.io/Logging_2584/tillsyn/A 53309-2023 tillsynsbegäran.docx", "A 53309-2023")</f>
        <v/>
      </c>
      <c r="AD17">
        <f>HYPERLINK("https://klasma.github.io/Logging_2584/tillsynsmail/A 53309-2023 tillsynsbegäran mail.docx", "A 53309-2023")</f>
        <v/>
      </c>
      <c r="AE17">
        <f>HYPERLINK("https://klasma.github.io/Logging_2584/fåglar/A 53309-2023 prioriterade fågelarter.docx", "A 53309-2023")</f>
        <v/>
      </c>
    </row>
    <row r="18" ht="15" customHeight="1">
      <c r="A18" t="inlineStr">
        <is>
          <t>A 20780-2025</t>
        </is>
      </c>
      <c r="B18" t="inlineStr">
        <is>
          <t>avverkningsanmälan</t>
        </is>
      </c>
      <c r="C18" t="inlineStr">
        <is>
          <t>Föryngringsavverkning</t>
        </is>
      </c>
      <c r="D18" s="1" t="n">
        <v>45776</v>
      </c>
      <c r="E18" s="1" t="n">
        <v>46292</v>
      </c>
      <c r="F18" t="inlineStr">
        <is>
          <t>NORRBOTTENS LÄN</t>
        </is>
      </c>
      <c r="G18" t="inlineStr">
        <is>
          <t>KIRUNA</t>
        </is>
      </c>
      <c r="H18" t="inlineStr">
        <is>
          <t>Sveaskog</t>
        </is>
      </c>
      <c r="I18" t="n">
        <v>5.7</v>
      </c>
      <c r="J18" t="n">
        <v>1</v>
      </c>
      <c r="K18" t="n">
        <v>2</v>
      </c>
      <c r="L18" t="n">
        <v>0</v>
      </c>
      <c r="M18" t="n">
        <v>1</v>
      </c>
      <c r="N18" t="n">
        <v>0</v>
      </c>
      <c r="O18" t="n">
        <v>0</v>
      </c>
      <c r="P18" t="n">
        <v>0</v>
      </c>
      <c r="Q18" t="n">
        <v>1</v>
      </c>
      <c r="R18" t="n">
        <v>1</v>
      </c>
      <c r="S18" t="n">
        <v>3</v>
      </c>
      <c r="T18" t="n">
        <v>4</v>
      </c>
      <c r="U18" t="n">
        <v>0</v>
      </c>
      <c r="V18" s="2" t="inlineStr">
        <is>
          <t>Garnlav
Lappranunkel
Stuplav</t>
        </is>
      </c>
      <c r="W18">
        <f>HYPERLINK("https://klasma.github.io/Logging_2584/artfynd/A 20780-2025 artfynd.xlsx", "A 20780-2025")</f>
        <v/>
      </c>
      <c r="X18">
        <f>HYPERLINK("https://klasma.github.io/Logging_2584/kartor/A 20780-2025 karta.png", "A 20780-2025")</f>
        <v/>
      </c>
      <c r="Y18">
        <f>HYPERLINK("https://klasma.github.io/Logging_2584/kartor_geotiff/A 20780-2025 georefererad karta.tif", "A 20780-2025")</f>
        <v/>
      </c>
      <c r="AA18">
        <f>HYPERLINK("https://klasma.github.io/Logging_2584/klagomål/A 20780-2025 FSC-klagomål.docx", "A 20780-2025")</f>
        <v/>
      </c>
      <c r="AB18">
        <f>HYPERLINK("https://klasma.github.io/Logging_2584/klagomålsmail/A 20780-2025 FSC-klagomål mail.docx", "A 20780-2025")</f>
        <v/>
      </c>
      <c r="AC18">
        <f>HYPERLINK("https://klasma.github.io/Logging_2584/tillsyn/A 20780-2025 tillsynsbegäran.docx", "A 20780-2025")</f>
        <v/>
      </c>
      <c r="AD18">
        <f>HYPERLINK("https://klasma.github.io/Logging_2584/tillsynsmail/A 20780-2025 tillsynsbegäran mail.docx", "A 20780-2025")</f>
        <v/>
      </c>
    </row>
    <row r="19" ht="15" customHeight="1">
      <c r="A19" t="inlineStr">
        <is>
          <t>A 17740-2023</t>
        </is>
      </c>
      <c r="B19" t="inlineStr">
        <is>
          <t>avverkningsanmälan</t>
        </is>
      </c>
      <c r="C19" t="inlineStr">
        <is>
          <t>Föryngringsavverkning</t>
        </is>
      </c>
      <c r="D19" s="1" t="n">
        <v>45035</v>
      </c>
      <c r="E19" s="1" t="n">
        <v>46292</v>
      </c>
      <c r="F19" t="inlineStr">
        <is>
          <t>NORRBOTTENS LÄN</t>
        </is>
      </c>
      <c r="G19" t="inlineStr">
        <is>
          <t>KIRUNA</t>
        </is>
      </c>
      <c r="H19" t="inlineStr">
        <is>
          <t>Allmännings- och besparingsskogar</t>
        </is>
      </c>
      <c r="I19" t="n">
        <v>20.1</v>
      </c>
      <c r="J19" t="n">
        <v>1</v>
      </c>
      <c r="K19" t="n">
        <v>0</v>
      </c>
      <c r="L19" t="n">
        <v>1</v>
      </c>
      <c r="M19" t="n">
        <v>0</v>
      </c>
      <c r="N19" t="n">
        <v>0</v>
      </c>
      <c r="O19" t="n">
        <v>0</v>
      </c>
      <c r="P19" t="n">
        <v>0</v>
      </c>
      <c r="Q19" t="n">
        <v>1</v>
      </c>
      <c r="R19" t="n">
        <v>0</v>
      </c>
      <c r="S19" t="n">
        <v>2</v>
      </c>
      <c r="T19" t="n">
        <v>2</v>
      </c>
      <c r="U19" t="n">
        <v>1</v>
      </c>
      <c r="V19" s="2" t="inlineStr">
        <is>
          <t>Knottrig blåslav
Svartvit flugsnappare</t>
        </is>
      </c>
      <c r="W19">
        <f>HYPERLINK("https://klasma.github.io/Logging_2584/artfynd/A 17740-2023 artfynd.xlsx", "A 17740-2023")</f>
        <v/>
      </c>
      <c r="X19">
        <f>HYPERLINK("https://klasma.github.io/Logging_2584/kartor/A 17740-2023 karta.png", "A 17740-2023")</f>
        <v/>
      </c>
      <c r="Y19">
        <f>HYPERLINK("https://klasma.github.io/Logging_2584/kartor_geotiff/A 17740-2023 georefererad karta.tif", "A 17740-2023")</f>
        <v/>
      </c>
      <c r="AA19">
        <f>HYPERLINK("https://klasma.github.io/Logging_2584/klagomål/A 17740-2023 FSC-klagomål.docx", "A 17740-2023")</f>
        <v/>
      </c>
      <c r="AB19">
        <f>HYPERLINK("https://klasma.github.io/Logging_2584/klagomålsmail/A 17740-2023 FSC-klagomål mail.docx", "A 17740-2023")</f>
        <v/>
      </c>
      <c r="AC19">
        <f>HYPERLINK("https://klasma.github.io/Logging_2584/tillsyn/A 17740-2023 tillsynsbegäran.docx", "A 17740-2023")</f>
        <v/>
      </c>
      <c r="AD19">
        <f>HYPERLINK("https://klasma.github.io/Logging_2584/tillsynsmail/A 17740-2023 tillsynsbegäran mail.docx", "A 17740-2023")</f>
        <v/>
      </c>
    </row>
    <row r="20" ht="15" customHeight="1">
      <c r="A20" t="inlineStr">
        <is>
          <t>A 53264-2023</t>
        </is>
      </c>
      <c r="B20" t="inlineStr">
        <is>
          <t>avverkningsanmälan</t>
        </is>
      </c>
      <c r="C20" t="inlineStr">
        <is>
          <t>Föryngringsavverkning</t>
        </is>
      </c>
      <c r="D20" s="1" t="n">
        <v>45222</v>
      </c>
      <c r="E20" s="1" t="n">
        <v>46292</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58860-2022</t>
        </is>
      </c>
      <c r="B21" t="inlineStr">
        <is>
          <t>avverkningsanmälan</t>
        </is>
      </c>
      <c r="C21" t="inlineStr">
        <is>
          <t>Avverkning för annat ändamål</t>
        </is>
      </c>
      <c r="D21" s="1" t="n">
        <v>44896</v>
      </c>
      <c r="E21" s="1" t="n">
        <v>46292</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53264-2023</t>
        </is>
      </c>
      <c r="B22" t="inlineStr">
        <is>
          <t>avverkningsanmälan</t>
        </is>
      </c>
      <c r="C22" t="inlineStr">
        <is>
          <t>Föryngringsavverkning</t>
        </is>
      </c>
      <c r="D22" s="1" t="n">
        <v>45222</v>
      </c>
      <c r="E22" s="1" t="n">
        <v>46292</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45810-2022</t>
        </is>
      </c>
      <c r="B23" t="inlineStr">
        <is>
          <t>avverkningsanmälan</t>
        </is>
      </c>
      <c r="C23" t="inlineStr">
        <is>
          <t>Avverkning för annat ändamål</t>
        </is>
      </c>
      <c r="D23" s="1" t="n">
        <v>44844</v>
      </c>
      <c r="E23" s="1" t="n">
        <v>46292</v>
      </c>
      <c r="F23" t="inlineStr">
        <is>
          <t>NORRBOTTENS LÄN</t>
        </is>
      </c>
      <c r="G23" t="inlineStr">
        <is>
          <t>KIRUNA</t>
        </is>
      </c>
      <c r="H23" t="inlineStr">
        <is>
          <t>Övriga statliga verk och myndigheter</t>
        </is>
      </c>
      <c r="I23" t="n">
        <v>6.8</v>
      </c>
      <c r="J23" t="n">
        <v>1</v>
      </c>
      <c r="K23" t="n">
        <v>0</v>
      </c>
      <c r="L23" t="n">
        <v>0</v>
      </c>
      <c r="M23" t="n">
        <v>0</v>
      </c>
      <c r="N23" t="n">
        <v>0</v>
      </c>
      <c r="O23" t="n">
        <v>0</v>
      </c>
      <c r="P23" t="n">
        <v>0</v>
      </c>
      <c r="Q23" t="n">
        <v>0</v>
      </c>
      <c r="R23" t="n">
        <v>0</v>
      </c>
      <c r="S23" t="n">
        <v>1</v>
      </c>
      <c r="T23" t="n">
        <v>3</v>
      </c>
      <c r="U23" t="n">
        <v>0</v>
      </c>
      <c r="V23" s="2" t="inlineStr">
        <is>
          <t>Revlummer</t>
        </is>
      </c>
      <c r="W23">
        <f>HYPERLINK("https://klasma.github.io/Logging_2584/artfynd/A 45810-2022 artfynd.xlsx", "A 45810-2022")</f>
        <v/>
      </c>
      <c r="X23">
        <f>HYPERLINK("https://klasma.github.io/Logging_2584/kartor/A 45810-2022 karta.png", "A 45810-2022")</f>
        <v/>
      </c>
      <c r="Y23">
        <f>HYPERLINK("https://klasma.github.io/Logging_2584/kartor_geotiff/A 45810-2022 georefererad karta.tif", "A 45810-2022")</f>
        <v/>
      </c>
      <c r="AA23">
        <f>HYPERLINK("https://klasma.github.io/Logging_2584/klagomål/A 45810-2022 FSC-klagomål.docx", "A 45810-2022")</f>
        <v/>
      </c>
      <c r="AB23">
        <f>HYPERLINK("https://klasma.github.io/Logging_2584/klagomålsmail/A 45810-2022 FSC-klagomål mail.docx", "A 45810-2022")</f>
        <v/>
      </c>
      <c r="AC23">
        <f>HYPERLINK("https://klasma.github.io/Logging_2584/tillsyn/A 45810-2022 tillsynsbegäran.docx", "A 45810-2022")</f>
        <v/>
      </c>
      <c r="AD23">
        <f>HYPERLINK("https://klasma.github.io/Logging_2584/tillsynsmail/A 45810-2022 tillsynsbegäran mail.docx", "A 45810-2022")</f>
        <v/>
      </c>
    </row>
    <row r="24" ht="15" customHeight="1">
      <c r="A24" t="inlineStr">
        <is>
          <t>A 61066-2024</t>
        </is>
      </c>
      <c r="B24" t="inlineStr">
        <is>
          <t>avverkningsanmälan</t>
        </is>
      </c>
      <c r="C24" t="inlineStr">
        <is>
          <t>Föryngringsavverkning</t>
        </is>
      </c>
      <c r="D24" s="1" t="n">
        <v>45645</v>
      </c>
      <c r="E24" s="1" t="n">
        <v>46292</v>
      </c>
      <c r="F24" t="inlineStr">
        <is>
          <t>NORRBOTTENS LÄN</t>
        </is>
      </c>
      <c r="G24" t="inlineStr">
        <is>
          <t>KIRUNA</t>
        </is>
      </c>
      <c r="I24" t="n">
        <v>4.5</v>
      </c>
      <c r="J24" t="n">
        <v>1</v>
      </c>
      <c r="K24" t="n">
        <v>0</v>
      </c>
      <c r="L24" t="n">
        <v>0</v>
      </c>
      <c r="M24" t="n">
        <v>0</v>
      </c>
      <c r="N24" t="n">
        <v>0</v>
      </c>
      <c r="O24" t="n">
        <v>0</v>
      </c>
      <c r="P24" t="n">
        <v>0</v>
      </c>
      <c r="Q24" t="n">
        <v>0</v>
      </c>
      <c r="R24" t="n">
        <v>0</v>
      </c>
      <c r="S24" t="n">
        <v>1</v>
      </c>
      <c r="T24" t="n">
        <v>1</v>
      </c>
      <c r="U24" t="n">
        <v>1</v>
      </c>
      <c r="V24" s="2" t="inlineStr">
        <is>
          <t>Tjäder</t>
        </is>
      </c>
      <c r="W24">
        <f>HYPERLINK("https://klasma.github.io/Logging_2584/artfynd/A 61066-2024 artfynd.xlsx", "A 61066-2024")</f>
        <v/>
      </c>
      <c r="X24">
        <f>HYPERLINK("https://klasma.github.io/Logging_2584/kartor/A 61066-2024 karta.png", "A 61066-2024")</f>
        <v/>
      </c>
      <c r="Y24">
        <f>HYPERLINK("https://klasma.github.io/Logging_2584/kartor_geotiff/A 61066-2024 georefererad karta.tif", "A 61066-2024")</f>
        <v/>
      </c>
      <c r="AA24">
        <f>HYPERLINK("https://klasma.github.io/Logging_2584/klagomål/A 61066-2024 FSC-klagomål.docx", "A 61066-2024")</f>
        <v/>
      </c>
      <c r="AB24">
        <f>HYPERLINK("https://klasma.github.io/Logging_2584/klagomålsmail/A 61066-2024 FSC-klagomål mail.docx", "A 61066-2024")</f>
        <v/>
      </c>
      <c r="AC24">
        <f>HYPERLINK("https://klasma.github.io/Logging_2584/tillsyn/A 61066-2024 tillsynsbegäran.docx", "A 61066-2024")</f>
        <v/>
      </c>
      <c r="AD24">
        <f>HYPERLINK("https://klasma.github.io/Logging_2584/tillsynsmail/A 61066-2024 tillsynsbegäran mail.docx", "A 61066-2024")</f>
        <v/>
      </c>
      <c r="AE24">
        <f>HYPERLINK("https://klasma.github.io/Logging_2584/fåglar/A 61066-2024 prioriterade fågelarter.docx", "A 61066-2024")</f>
        <v/>
      </c>
    </row>
    <row r="25" ht="15" customHeight="1">
      <c r="A25" t="inlineStr">
        <is>
          <t>A 60064-2023</t>
        </is>
      </c>
      <c r="B25" t="inlineStr">
        <is>
          <t>avverkningsanmälan</t>
        </is>
      </c>
      <c r="C25" t="inlineStr">
        <is>
          <t>Föryngringsavverkning</t>
        </is>
      </c>
      <c r="D25" s="1" t="n">
        <v>45258</v>
      </c>
      <c r="E25" s="1" t="n">
        <v>46292</v>
      </c>
      <c r="F25" t="inlineStr">
        <is>
          <t>NORRBOTTENS LÄN</t>
        </is>
      </c>
      <c r="G25" t="inlineStr">
        <is>
          <t>KIRUNA</t>
        </is>
      </c>
      <c r="I25" t="n">
        <v>19.8</v>
      </c>
      <c r="J25" t="n">
        <v>1</v>
      </c>
      <c r="K25" t="n">
        <v>0</v>
      </c>
      <c r="L25" t="n">
        <v>0</v>
      </c>
      <c r="M25" t="n">
        <v>0</v>
      </c>
      <c r="N25" t="n">
        <v>0</v>
      </c>
      <c r="O25" t="n">
        <v>0</v>
      </c>
      <c r="P25" t="n">
        <v>0</v>
      </c>
      <c r="Q25" t="n">
        <v>0</v>
      </c>
      <c r="R25" t="n">
        <v>0</v>
      </c>
      <c r="S25" t="n">
        <v>1</v>
      </c>
      <c r="T25" t="n">
        <v>2</v>
      </c>
      <c r="U25" t="n">
        <v>2</v>
      </c>
      <c r="V25" s="2" t="inlineStr">
        <is>
          <t>Tjäder</t>
        </is>
      </c>
      <c r="W25">
        <f>HYPERLINK("https://klasma.github.io/Logging_2584/artfynd/A 60064-2023 artfynd.xlsx", "A 60064-2023")</f>
        <v/>
      </c>
      <c r="X25">
        <f>HYPERLINK("https://klasma.github.io/Logging_2584/kartor/A 60064-2023 karta.png", "A 60064-2023")</f>
        <v/>
      </c>
      <c r="Y25">
        <f>HYPERLINK("https://klasma.github.io/Logging_2584/kartor_geotiff/A 60064-2023 georefererad karta.tif", "A 60064-2023")</f>
        <v/>
      </c>
      <c r="AA25">
        <f>HYPERLINK("https://klasma.github.io/Logging_2584/klagomål/A 60064-2023 FSC-klagomål.docx", "A 60064-2023")</f>
        <v/>
      </c>
      <c r="AB25">
        <f>HYPERLINK("https://klasma.github.io/Logging_2584/klagomålsmail/A 60064-2023 FSC-klagomål mail.docx", "A 60064-2023")</f>
        <v/>
      </c>
      <c r="AC25">
        <f>HYPERLINK("https://klasma.github.io/Logging_2584/tillsyn/A 60064-2023 tillsynsbegäran.docx", "A 60064-2023")</f>
        <v/>
      </c>
      <c r="AD25">
        <f>HYPERLINK("https://klasma.github.io/Logging_2584/tillsynsmail/A 60064-2023 tillsynsbegäran mail.docx", "A 60064-2023")</f>
        <v/>
      </c>
      <c r="AE25">
        <f>HYPERLINK("https://klasma.github.io/Logging_2584/fåglar/A 60064-2023 prioriterade fågelarter.docx", "A 60064-2023")</f>
        <v/>
      </c>
    </row>
    <row r="26" ht="15" customHeight="1">
      <c r="A26" t="inlineStr">
        <is>
          <t>A 2660-2026</t>
        </is>
      </c>
      <c r="B26" t="inlineStr">
        <is>
          <t>avverkningsanmälan</t>
        </is>
      </c>
      <c r="C26" t="inlineStr">
        <is>
          <t>Föryngringsavverkning</t>
        </is>
      </c>
      <c r="D26" s="1" t="n">
        <v>46037</v>
      </c>
      <c r="E26" s="1" t="n">
        <v>46292</v>
      </c>
      <c r="F26" t="inlineStr">
        <is>
          <t>NORRBOTTENS LÄN</t>
        </is>
      </c>
      <c r="G26" t="inlineStr">
        <is>
          <t>KIRUNA</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HYPERLINK("https://klasma.github.io/Logging_2584/artfynd/A 2660-2026 artfynd.xlsx", "A 2660-2026")</f>
        <v/>
      </c>
      <c r="X26">
        <f>HYPERLINK("https://klasma.github.io/Logging_2584/kartor/A 2660-2026 karta.png", "A 2660-2026")</f>
        <v/>
      </c>
      <c r="Y26">
        <f>HYPERLINK("https://klasma.github.io/Logging_2584/kartor_geotiff/A 2660-2026 georefererad karta.tif", "A 2660-2026")</f>
        <v/>
      </c>
      <c r="AA26">
        <f>HYPERLINK("https://klasma.github.io/Logging_2584/klagomål/A 2660-2026 FSC-klagomål.docx", "A 2660-2026")</f>
        <v/>
      </c>
      <c r="AB26">
        <f>HYPERLINK("https://klasma.github.io/Logging_2584/klagomålsmail/A 2660-2026 FSC-klagomål mail.docx", "A 2660-2026")</f>
        <v/>
      </c>
      <c r="AC26">
        <f>HYPERLINK("https://klasma.github.io/Logging_2584/tillsyn/A 2660-2026 tillsynsbegäran.docx", "A 2660-2026")</f>
        <v/>
      </c>
      <c r="AD26">
        <f>HYPERLINK("https://klasma.github.io/Logging_2584/tillsynsmail/A 2660-2026 tillsynsbegäran mail.docx", "A 2660-2026")</f>
        <v/>
      </c>
    </row>
    <row r="27" ht="15" customHeight="1">
      <c r="A27" t="inlineStr">
        <is>
          <t>A 5842-2023</t>
        </is>
      </c>
      <c r="B27" t="inlineStr">
        <is>
          <t>avverkningsanmälan</t>
        </is>
      </c>
      <c r="C27" t="inlineStr">
        <is>
          <t>Avverkning för annat ändamål</t>
        </is>
      </c>
      <c r="D27" s="1" t="n">
        <v>44958</v>
      </c>
      <c r="E27" s="1" t="n">
        <v>46292</v>
      </c>
      <c r="F27" t="inlineStr">
        <is>
          <t>NORRBOTTENS LÄN</t>
        </is>
      </c>
      <c r="G27" t="inlineStr">
        <is>
          <t>KIRUNA</t>
        </is>
      </c>
      <c r="I27" t="n">
        <v>2.9</v>
      </c>
      <c r="J27" t="n">
        <v>0</v>
      </c>
      <c r="K27" t="n">
        <v>0</v>
      </c>
      <c r="L27" t="n">
        <v>0</v>
      </c>
      <c r="M27" t="n">
        <v>1</v>
      </c>
      <c r="N27" t="n">
        <v>0</v>
      </c>
      <c r="O27" t="n">
        <v>0</v>
      </c>
      <c r="P27" t="n">
        <v>0</v>
      </c>
      <c r="Q27" t="n">
        <v>1</v>
      </c>
      <c r="R27" t="n">
        <v>1</v>
      </c>
      <c r="S27" t="n">
        <v>1</v>
      </c>
      <c r="T27" t="n">
        <v>1</v>
      </c>
      <c r="U27" t="n">
        <v>0</v>
      </c>
      <c r="V27" s="2" t="inlineStr">
        <is>
          <t>Fjällsotlav</t>
        </is>
      </c>
      <c r="W27">
        <f>HYPERLINK("https://klasma.github.io/Logging_2584/artfynd/A 5842-2023 artfynd.xlsx", "A 5842-2023")</f>
        <v/>
      </c>
      <c r="X27">
        <f>HYPERLINK("https://klasma.github.io/Logging_2584/kartor/A 5842-2023 karta.png", "A 5842-2023")</f>
        <v/>
      </c>
      <c r="Y27">
        <f>HYPERLINK("https://klasma.github.io/Logging_2584/kartor_geotiff/A 5842-2023 georefererad karta.tif", "A 5842-2023")</f>
        <v/>
      </c>
      <c r="AA27">
        <f>HYPERLINK("https://klasma.github.io/Logging_2584/klagomål/A 5842-2023 FSC-klagomål.docx", "A 5842-2023")</f>
        <v/>
      </c>
      <c r="AB27">
        <f>HYPERLINK("https://klasma.github.io/Logging_2584/klagomålsmail/A 5842-2023 FSC-klagomål mail.docx", "A 5842-2023")</f>
        <v/>
      </c>
      <c r="AC27">
        <f>HYPERLINK("https://klasma.github.io/Logging_2584/tillsyn/A 5842-2023 tillsynsbegäran.docx", "A 5842-2023")</f>
        <v/>
      </c>
      <c r="AD27">
        <f>HYPERLINK("https://klasma.github.io/Logging_2584/tillsynsmail/A 5842-2023 tillsynsbegäran mail.docx", "A 5842-2023")</f>
        <v/>
      </c>
    </row>
    <row r="28" ht="15" customHeight="1">
      <c r="A28" t="inlineStr">
        <is>
          <t>A 4367-2024</t>
        </is>
      </c>
      <c r="B28" t="inlineStr">
        <is>
          <t>avverkningsanmälan</t>
        </is>
      </c>
      <c r="C28" t="inlineStr">
        <is>
          <t>Föryngringsavverkning</t>
        </is>
      </c>
      <c r="D28" s="1" t="n">
        <v>45326</v>
      </c>
      <c r="E28" s="1" t="n">
        <v>46292</v>
      </c>
      <c r="F28" t="inlineStr">
        <is>
          <t>NORRBOTTENS LÄN</t>
        </is>
      </c>
      <c r="G28" t="inlineStr">
        <is>
          <t>KIRUNA</t>
        </is>
      </c>
      <c r="I28" t="n">
        <v>7.5</v>
      </c>
      <c r="J28" t="n">
        <v>0</v>
      </c>
      <c r="K28" t="n">
        <v>0</v>
      </c>
      <c r="L28" t="n">
        <v>1</v>
      </c>
      <c r="M28" t="n">
        <v>0</v>
      </c>
      <c r="N28" t="n">
        <v>0</v>
      </c>
      <c r="O28" t="n">
        <v>0</v>
      </c>
      <c r="P28" t="n">
        <v>0</v>
      </c>
      <c r="Q28" t="n">
        <v>1</v>
      </c>
      <c r="R28" t="n">
        <v>0</v>
      </c>
      <c r="S28" t="n">
        <v>1</v>
      </c>
      <c r="T28" t="n">
        <v>1</v>
      </c>
      <c r="U28" t="n">
        <v>1</v>
      </c>
      <c r="V28" s="2" t="inlineStr">
        <is>
          <t>Tallticka</t>
        </is>
      </c>
      <c r="W28">
        <f>HYPERLINK("https://klasma.github.io/Logging_2584/artfynd/A 4367-2024 artfynd.xlsx", "A 4367-2024")</f>
        <v/>
      </c>
      <c r="X28">
        <f>HYPERLINK("https://klasma.github.io/Logging_2584/kartor/A 4367-2024 karta.png", "A 4367-2024")</f>
        <v/>
      </c>
      <c r="Y28">
        <f>HYPERLINK("https://klasma.github.io/Logging_2584/kartor_geotiff/A 4367-2024 georefererad karta.tif", "A 4367-2024")</f>
        <v/>
      </c>
      <c r="AA28">
        <f>HYPERLINK("https://klasma.github.io/Logging_2584/klagomål/A 4367-2024 FSC-klagomål.docx", "A 4367-2024")</f>
        <v/>
      </c>
      <c r="AB28">
        <f>HYPERLINK("https://klasma.github.io/Logging_2584/klagomålsmail/A 4367-2024 FSC-klagomål mail.docx", "A 4367-2024")</f>
        <v/>
      </c>
      <c r="AC28">
        <f>HYPERLINK("https://klasma.github.io/Logging_2584/tillsyn/A 4367-2024 tillsynsbegäran.docx", "A 4367-2024")</f>
        <v/>
      </c>
      <c r="AD28">
        <f>HYPERLINK("https://klasma.github.io/Logging_2584/tillsynsmail/A 4367-2024 tillsynsbegäran mail.docx", "A 4367-2024")</f>
        <v/>
      </c>
    </row>
    <row r="29" ht="15" customHeight="1">
      <c r="A29" t="inlineStr">
        <is>
          <t>A 16024-2024</t>
        </is>
      </c>
      <c r="B29" t="inlineStr">
        <is>
          <t>avverkningsanmälan</t>
        </is>
      </c>
      <c r="C29" t="inlineStr">
        <is>
          <t>Föryngringsavverkning</t>
        </is>
      </c>
      <c r="D29" s="1" t="n">
        <v>45405</v>
      </c>
      <c r="E29" s="1" t="n">
        <v>46292</v>
      </c>
      <c r="F29" t="inlineStr">
        <is>
          <t>NORRBOTTENS LÄN</t>
        </is>
      </c>
      <c r="G29" t="inlineStr">
        <is>
          <t>KIRUNA</t>
        </is>
      </c>
      <c r="I29" t="n">
        <v>2.3</v>
      </c>
      <c r="J29" t="n">
        <v>0</v>
      </c>
      <c r="K29" t="n">
        <v>0</v>
      </c>
      <c r="L29" t="n">
        <v>1</v>
      </c>
      <c r="M29" t="n">
        <v>0</v>
      </c>
      <c r="N29" t="n">
        <v>0</v>
      </c>
      <c r="O29" t="n">
        <v>0</v>
      </c>
      <c r="P29" t="n">
        <v>0</v>
      </c>
      <c r="Q29" t="n">
        <v>1</v>
      </c>
      <c r="R29" t="n">
        <v>0</v>
      </c>
      <c r="S29" t="n">
        <v>1</v>
      </c>
      <c r="T29" t="n">
        <v>1</v>
      </c>
      <c r="U29" t="n">
        <v>1</v>
      </c>
      <c r="V29" s="2" t="inlineStr">
        <is>
          <t>Vedskivlav</t>
        </is>
      </c>
      <c r="W29">
        <f>HYPERLINK("https://klasma.github.io/Logging_2584/artfynd/A 16024-2024 artfynd.xlsx", "A 16024-2024")</f>
        <v/>
      </c>
      <c r="X29">
        <f>HYPERLINK("https://klasma.github.io/Logging_2584/kartor/A 16024-2024 karta.png", "A 16024-2024")</f>
        <v/>
      </c>
      <c r="Y29">
        <f>HYPERLINK("https://klasma.github.io/Logging_2584/kartor_geotiff/A 16024-2024 georefererad karta.tif", "A 16024-2024")</f>
        <v/>
      </c>
      <c r="AA29">
        <f>HYPERLINK("https://klasma.github.io/Logging_2584/klagomål/A 16024-2024 FSC-klagomål.docx", "A 16024-2024")</f>
        <v/>
      </c>
      <c r="AB29">
        <f>HYPERLINK("https://klasma.github.io/Logging_2584/klagomålsmail/A 16024-2024 FSC-klagomål mail.docx", "A 16024-2024")</f>
        <v/>
      </c>
      <c r="AC29">
        <f>HYPERLINK("https://klasma.github.io/Logging_2584/tillsyn/A 16024-2024 tillsynsbegäran.docx", "A 16024-2024")</f>
        <v/>
      </c>
      <c r="AD29">
        <f>HYPERLINK("https://klasma.github.io/Logging_2584/tillsynsmail/A 16024-2024 tillsynsbegäran mail.docx", "A 16024-2024")</f>
        <v/>
      </c>
    </row>
    <row r="30" ht="15" customHeight="1">
      <c r="A30" t="inlineStr">
        <is>
          <t>A 35757-2026</t>
        </is>
      </c>
      <c r="B30" t="inlineStr">
        <is>
          <t>avverkningsanmälan</t>
        </is>
      </c>
      <c r="C30" t="inlineStr">
        <is>
          <t>Föryngringsavverkning</t>
        </is>
      </c>
      <c r="D30" s="1" t="n">
        <v>46265</v>
      </c>
      <c r="E30" s="1" t="n">
        <v>46292</v>
      </c>
      <c r="F30" t="inlineStr">
        <is>
          <t>NORRBOTTENS LÄN</t>
        </is>
      </c>
      <c r="G30" t="inlineStr">
        <is>
          <t>KIRUNA</t>
        </is>
      </c>
      <c r="I30" t="n">
        <v>6.1</v>
      </c>
      <c r="J30" t="n">
        <v>0</v>
      </c>
      <c r="K30" t="n">
        <v>0</v>
      </c>
      <c r="L30" t="n">
        <v>1</v>
      </c>
      <c r="M30" t="n">
        <v>0</v>
      </c>
      <c r="N30" t="n">
        <v>0</v>
      </c>
      <c r="O30" t="n">
        <v>0</v>
      </c>
      <c r="P30" t="n">
        <v>0</v>
      </c>
      <c r="Q30" t="n">
        <v>1</v>
      </c>
      <c r="R30" t="n">
        <v>0</v>
      </c>
      <c r="S30" t="n">
        <v>1</v>
      </c>
      <c r="T30" t="n">
        <v>1</v>
      </c>
      <c r="U30" t="n">
        <v>0</v>
      </c>
      <c r="V30" s="2" t="inlineStr">
        <is>
          <t>Ullticka</t>
        </is>
      </c>
      <c r="W30">
        <f>HYPERLINK("https://klasma.github.io/Logging_2584/artfynd/A 35757-2026 artfynd.xlsx", "A 35757-2026")</f>
        <v/>
      </c>
      <c r="X30">
        <f>HYPERLINK("https://klasma.github.io/Logging_2584/kartor/A 35757-2026 karta.png", "A 35757-2026")</f>
        <v/>
      </c>
      <c r="Y30">
        <f>HYPERLINK("https://klasma.github.io/Logging_2584/kartor_geotiff/A 35757-2026 georefererad karta.tif", "A 35757-2026")</f>
        <v/>
      </c>
      <c r="AA30">
        <f>HYPERLINK("https://klasma.github.io/Logging_2584/klagomål/A 35757-2026 FSC-klagomål.docx", "A 35757-2026")</f>
        <v/>
      </c>
      <c r="AB30">
        <f>HYPERLINK("https://klasma.github.io/Logging_2584/klagomålsmail/A 35757-2026 FSC-klagomål mail.docx", "A 35757-2026")</f>
        <v/>
      </c>
      <c r="AC30">
        <f>HYPERLINK("https://klasma.github.io/Logging_2584/tillsyn/A 35757-2026 tillsynsbegäran.docx", "A 35757-2026")</f>
        <v/>
      </c>
      <c r="AD30">
        <f>HYPERLINK("https://klasma.github.io/Logging_2584/tillsynsmail/A 35757-2026 tillsynsbegäran mail.docx", "A 35757-2026")</f>
        <v/>
      </c>
    </row>
    <row r="31" ht="15" customHeight="1">
      <c r="A31" t="inlineStr">
        <is>
          <t>A 45205-2022</t>
        </is>
      </c>
      <c r="B31" t="inlineStr">
        <is>
          <t>avverkningsanmälan</t>
        </is>
      </c>
      <c r="C31" t="inlineStr">
        <is>
          <t>Avverkning för annat ändamål</t>
        </is>
      </c>
      <c r="D31" s="1" t="n">
        <v>44840</v>
      </c>
      <c r="E31" s="1" t="n">
        <v>46292</v>
      </c>
      <c r="F31" t="inlineStr">
        <is>
          <t>NORRBOTTENS LÄN</t>
        </is>
      </c>
      <c r="G31" t="inlineStr">
        <is>
          <t>KIRUNA</t>
        </is>
      </c>
      <c r="H31" t="inlineStr">
        <is>
          <t>Övriga statliga verk och myndigheter</t>
        </is>
      </c>
      <c r="I31" t="n">
        <v>1.5</v>
      </c>
      <c r="J31" t="n">
        <v>0</v>
      </c>
      <c r="K31" t="n">
        <v>0</v>
      </c>
      <c r="L31" t="n">
        <v>0</v>
      </c>
      <c r="M31" t="n">
        <v>0</v>
      </c>
      <c r="N31" t="n">
        <v>0</v>
      </c>
      <c r="O31" t="n">
        <v>0</v>
      </c>
      <c r="P31" t="n">
        <v>0</v>
      </c>
      <c r="Q31" t="n">
        <v>0</v>
      </c>
      <c r="R31" t="n">
        <v>0</v>
      </c>
      <c r="S31" t="n">
        <v>0</v>
      </c>
      <c r="T31" t="n">
        <v>0</v>
      </c>
      <c r="U31" t="n">
        <v>0</v>
      </c>
      <c r="V31" s="2" t="inlineStr"/>
    </row>
    <row r="32" ht="15" customHeight="1">
      <c r="A32" t="inlineStr">
        <is>
          <t>A 53752-2022</t>
        </is>
      </c>
      <c r="B32" t="inlineStr">
        <is>
          <t>avverkningsanmälan</t>
        </is>
      </c>
      <c r="C32" t="inlineStr">
        <is>
          <t>Föryngringsavverkning</t>
        </is>
      </c>
      <c r="D32" s="1" t="n">
        <v>44875</v>
      </c>
      <c r="E32" s="1" t="n">
        <v>46292</v>
      </c>
      <c r="F32" t="inlineStr">
        <is>
          <t>NORRBOTTENS LÄN</t>
        </is>
      </c>
      <c r="G32" t="inlineStr">
        <is>
          <t>KIRUNA</t>
        </is>
      </c>
      <c r="H32" t="inlineStr">
        <is>
          <t>SCA</t>
        </is>
      </c>
      <c r="I32" t="n">
        <v>6</v>
      </c>
      <c r="J32" t="n">
        <v>0</v>
      </c>
      <c r="K32" t="n">
        <v>0</v>
      </c>
      <c r="L32" t="n">
        <v>0</v>
      </c>
      <c r="M32" t="n">
        <v>0</v>
      </c>
      <c r="N32" t="n">
        <v>0</v>
      </c>
      <c r="O32" t="n">
        <v>0</v>
      </c>
      <c r="P32" t="n">
        <v>0</v>
      </c>
      <c r="Q32" t="n">
        <v>0</v>
      </c>
      <c r="R32" t="n">
        <v>0</v>
      </c>
      <c r="S32" t="n">
        <v>0</v>
      </c>
      <c r="T32" t="n">
        <v>0</v>
      </c>
      <c r="U32" t="n">
        <v>0</v>
      </c>
      <c r="V32" s="2" t="inlineStr"/>
    </row>
    <row r="33" ht="15" customHeight="1">
      <c r="A33" t="inlineStr">
        <is>
          <t>A 10546-2022</t>
        </is>
      </c>
      <c r="B33" t="inlineStr">
        <is>
          <t>avverkningsanmälan</t>
        </is>
      </c>
      <c r="C33" t="inlineStr">
        <is>
          <t>Föryngringsavverkning</t>
        </is>
      </c>
      <c r="D33" s="1" t="n">
        <v>44623</v>
      </c>
      <c r="E33" s="1" t="n">
        <v>46292</v>
      </c>
      <c r="F33" t="inlineStr">
        <is>
          <t>NORRBOTTENS LÄN</t>
        </is>
      </c>
      <c r="G33" t="inlineStr">
        <is>
          <t>KIRUNA</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10545-2022</t>
        </is>
      </c>
      <c r="B34" t="inlineStr">
        <is>
          <t>avverkningsanmälan</t>
        </is>
      </c>
      <c r="C34" t="inlineStr">
        <is>
          <t>Föryngringsavverkning</t>
        </is>
      </c>
      <c r="D34" s="1" t="n">
        <v>44623</v>
      </c>
      <c r="E34" s="1" t="n">
        <v>46292</v>
      </c>
      <c r="F34" t="inlineStr">
        <is>
          <t>NORRBOTTENS LÄN</t>
        </is>
      </c>
      <c r="G34" t="inlineStr">
        <is>
          <t>KIRUNA</t>
        </is>
      </c>
      <c r="I34" t="n">
        <v>4.6</v>
      </c>
      <c r="J34" t="n">
        <v>0</v>
      </c>
      <c r="K34" t="n">
        <v>0</v>
      </c>
      <c r="L34" t="n">
        <v>0</v>
      </c>
      <c r="M34" t="n">
        <v>0</v>
      </c>
      <c r="N34" t="n">
        <v>0</v>
      </c>
      <c r="O34" t="n">
        <v>0</v>
      </c>
      <c r="P34" t="n">
        <v>0</v>
      </c>
      <c r="Q34" t="n">
        <v>0</v>
      </c>
      <c r="R34" t="n">
        <v>0</v>
      </c>
      <c r="S34" t="n">
        <v>0</v>
      </c>
      <c r="T34" t="n">
        <v>0</v>
      </c>
      <c r="U34" t="n">
        <v>0</v>
      </c>
      <c r="V34" s="2" t="inlineStr"/>
    </row>
    <row r="35" ht="15" customHeight="1">
      <c r="A35" t="inlineStr">
        <is>
          <t>A 9605-2024</t>
        </is>
      </c>
      <c r="B35" t="inlineStr">
        <is>
          <t>avverkningsanmälan</t>
        </is>
      </c>
      <c r="C35" t="inlineStr">
        <is>
          <t>Föryngringsavverkning</t>
        </is>
      </c>
      <c r="D35" s="1" t="n">
        <v>45361</v>
      </c>
      <c r="E35" s="1" t="n">
        <v>46292</v>
      </c>
      <c r="F35" t="inlineStr">
        <is>
          <t>NORRBOTTENS LÄN</t>
        </is>
      </c>
      <c r="G35" t="inlineStr">
        <is>
          <t>KIRUNA</t>
        </is>
      </c>
      <c r="I35" t="n">
        <v>8.4</v>
      </c>
      <c r="J35" t="n">
        <v>0</v>
      </c>
      <c r="K35" t="n">
        <v>0</v>
      </c>
      <c r="L35" t="n">
        <v>0</v>
      </c>
      <c r="M35" t="n">
        <v>0</v>
      </c>
      <c r="N35" t="n">
        <v>0</v>
      </c>
      <c r="O35" t="n">
        <v>0</v>
      </c>
      <c r="P35" t="n">
        <v>0</v>
      </c>
      <c r="Q35" t="n">
        <v>0</v>
      </c>
      <c r="R35" t="n">
        <v>0</v>
      </c>
      <c r="S35" t="n">
        <v>0</v>
      </c>
      <c r="T35" t="n">
        <v>0</v>
      </c>
      <c r="U35" t="n">
        <v>0</v>
      </c>
      <c r="V35" s="2" t="inlineStr"/>
    </row>
    <row r="36" ht="15" customHeight="1">
      <c r="A36" t="inlineStr">
        <is>
          <t>A 5411-2024</t>
        </is>
      </c>
      <c r="B36" t="inlineStr">
        <is>
          <t>avverkningsanmälan</t>
        </is>
      </c>
      <c r="C36" t="inlineStr">
        <is>
          <t>Föryngringsavverkning</t>
        </is>
      </c>
      <c r="D36" s="1" t="n">
        <v>45331</v>
      </c>
      <c r="E36" s="1" t="n">
        <v>46292</v>
      </c>
      <c r="F36" t="inlineStr">
        <is>
          <t>NORRBOTTENS LÄN</t>
        </is>
      </c>
      <c r="G36" t="inlineStr">
        <is>
          <t>KIRUNA</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148-2026</t>
        </is>
      </c>
      <c r="B37" t="inlineStr">
        <is>
          <t>avverkningsanmälan</t>
        </is>
      </c>
      <c r="C37" t="inlineStr">
        <is>
          <t>Föryngringsavverkning</t>
        </is>
      </c>
      <c r="D37" s="1" t="n">
        <v>46024</v>
      </c>
      <c r="E37" s="1" t="n">
        <v>46292</v>
      </c>
      <c r="F37" t="inlineStr">
        <is>
          <t>NORRBOTTENS LÄN</t>
        </is>
      </c>
      <c r="G37" t="inlineStr">
        <is>
          <t>KIRUNA</t>
        </is>
      </c>
      <c r="I37" t="n">
        <v>10.2</v>
      </c>
      <c r="J37" t="n">
        <v>0</v>
      </c>
      <c r="K37" t="n">
        <v>0</v>
      </c>
      <c r="L37" t="n">
        <v>0</v>
      </c>
      <c r="M37" t="n">
        <v>0</v>
      </c>
      <c r="N37" t="n">
        <v>0</v>
      </c>
      <c r="O37" t="n">
        <v>0</v>
      </c>
      <c r="P37" t="n">
        <v>0</v>
      </c>
      <c r="Q37" t="n">
        <v>0</v>
      </c>
      <c r="R37" t="n">
        <v>0</v>
      </c>
      <c r="S37" t="n">
        <v>0</v>
      </c>
      <c r="T37" t="n">
        <v>0</v>
      </c>
      <c r="U37" t="n">
        <v>0</v>
      </c>
      <c r="V37" s="2" t="inlineStr"/>
    </row>
    <row r="38" ht="15" customHeight="1">
      <c r="A38" t="inlineStr">
        <is>
          <t>A 22494-2024</t>
        </is>
      </c>
      <c r="B38" t="inlineStr">
        <is>
          <t>avverkningsanmälan</t>
        </is>
      </c>
      <c r="C38" t="inlineStr">
        <is>
          <t>Föryngringsavverkning</t>
        </is>
      </c>
      <c r="D38" s="1" t="n">
        <v>45447</v>
      </c>
      <c r="E38" s="1" t="n">
        <v>46292</v>
      </c>
      <c r="F38" t="inlineStr">
        <is>
          <t>NORRBOTTENS LÄN</t>
        </is>
      </c>
      <c r="G38" t="inlineStr">
        <is>
          <t>KIRUNA</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50590-2023</t>
        </is>
      </c>
      <c r="B39" t="inlineStr">
        <is>
          <t>avverkningsanmälan</t>
        </is>
      </c>
      <c r="C39" t="inlineStr">
        <is>
          <t>Föryngringsavverkning</t>
        </is>
      </c>
      <c r="D39" s="1" t="n">
        <v>45217</v>
      </c>
      <c r="E39" s="1" t="n">
        <v>46292</v>
      </c>
      <c r="F39" t="inlineStr">
        <is>
          <t>NORRBOTTENS LÄN</t>
        </is>
      </c>
      <c r="G39" t="inlineStr">
        <is>
          <t>KIRUNA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9069-2023</t>
        </is>
      </c>
      <c r="B40" t="inlineStr">
        <is>
          <t>avverkningsanmälan</t>
        </is>
      </c>
      <c r="C40" t="inlineStr">
        <is>
          <t>Föryngringsavverkning</t>
        </is>
      </c>
      <c r="D40" s="1" t="n">
        <v>44979</v>
      </c>
      <c r="E40" s="1" t="n">
        <v>46292</v>
      </c>
      <c r="F40" t="inlineStr">
        <is>
          <t>NORRBOTTENS LÄN</t>
        </is>
      </c>
      <c r="G40" t="inlineStr">
        <is>
          <t>KIRUNA</t>
        </is>
      </c>
      <c r="H40" t="inlineStr">
        <is>
          <t>SCA</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2664-2026</t>
        </is>
      </c>
      <c r="B41" t="inlineStr">
        <is>
          <t>avverkningsanmälan</t>
        </is>
      </c>
      <c r="C41" t="inlineStr">
        <is>
          <t>Föryngringsavverkning</t>
        </is>
      </c>
      <c r="D41" s="1" t="n">
        <v>46037</v>
      </c>
      <c r="E41" s="1" t="n">
        <v>46292</v>
      </c>
      <c r="F41" t="inlineStr">
        <is>
          <t>NORRBOTTENS LÄN</t>
        </is>
      </c>
      <c r="G41" t="inlineStr">
        <is>
          <t>KIRUNA</t>
        </is>
      </c>
      <c r="I41" t="n">
        <v>31.3</v>
      </c>
      <c r="J41" t="n">
        <v>0</v>
      </c>
      <c r="K41" t="n">
        <v>0</v>
      </c>
      <c r="L41" t="n">
        <v>0</v>
      </c>
      <c r="M41" t="n">
        <v>0</v>
      </c>
      <c r="N41" t="n">
        <v>0</v>
      </c>
      <c r="O41" t="n">
        <v>0</v>
      </c>
      <c r="P41" t="n">
        <v>0</v>
      </c>
      <c r="Q41" t="n">
        <v>0</v>
      </c>
      <c r="R41" t="n">
        <v>0</v>
      </c>
      <c r="S41" t="n">
        <v>0</v>
      </c>
      <c r="T41" t="n">
        <v>0</v>
      </c>
      <c r="U41" t="n">
        <v>0</v>
      </c>
      <c r="V41" s="2" t="inlineStr"/>
    </row>
    <row r="42" ht="15" customHeight="1">
      <c r="A42" t="inlineStr">
        <is>
          <t>A 62439-2022</t>
        </is>
      </c>
      <c r="B42" t="inlineStr">
        <is>
          <t>avverkningsanmälan</t>
        </is>
      </c>
      <c r="C42" t="inlineStr">
        <is>
          <t>Föryngringsavverkning</t>
        </is>
      </c>
      <c r="D42" s="1" t="n">
        <v>44916</v>
      </c>
      <c r="E42" s="1" t="n">
        <v>46292</v>
      </c>
      <c r="F42" t="inlineStr">
        <is>
          <t>NORRBOTTENS LÄN</t>
        </is>
      </c>
      <c r="G42" t="inlineStr">
        <is>
          <t>KIRUNA</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A 22504-2024</t>
        </is>
      </c>
      <c r="B43" t="inlineStr">
        <is>
          <t>avverkningsanmälan</t>
        </is>
      </c>
      <c r="C43" t="inlineStr">
        <is>
          <t>Föryngringsavverkning</t>
        </is>
      </c>
      <c r="D43" s="1" t="n">
        <v>45447</v>
      </c>
      <c r="E43" s="1" t="n">
        <v>46292</v>
      </c>
      <c r="F43" t="inlineStr">
        <is>
          <t>NORRBOTTENS LÄN</t>
        </is>
      </c>
      <c r="G43" t="inlineStr">
        <is>
          <t>KIRUNA</t>
        </is>
      </c>
      <c r="I43" t="n">
        <v>15.6</v>
      </c>
      <c r="J43" t="n">
        <v>0</v>
      </c>
      <c r="K43" t="n">
        <v>0</v>
      </c>
      <c r="L43" t="n">
        <v>0</v>
      </c>
      <c r="M43" t="n">
        <v>0</v>
      </c>
      <c r="N43" t="n">
        <v>0</v>
      </c>
      <c r="O43" t="n">
        <v>0</v>
      </c>
      <c r="P43" t="n">
        <v>0</v>
      </c>
      <c r="Q43" t="n">
        <v>0</v>
      </c>
      <c r="R43" t="n">
        <v>0</v>
      </c>
      <c r="S43" t="n">
        <v>0</v>
      </c>
      <c r="T43" t="n">
        <v>0</v>
      </c>
      <c r="U43" t="n">
        <v>0</v>
      </c>
      <c r="V43" s="2" t="inlineStr"/>
    </row>
    <row r="44" ht="15" customHeight="1">
      <c r="A44" t="inlineStr">
        <is>
          <t>A 5476-2024</t>
        </is>
      </c>
      <c r="B44" t="inlineStr">
        <is>
          <t>avverkningsanmälan</t>
        </is>
      </c>
      <c r="C44" t="inlineStr">
        <is>
          <t>Föryngringsavverkning</t>
        </is>
      </c>
      <c r="D44" s="1" t="n">
        <v>45333</v>
      </c>
      <c r="E44" s="1" t="n">
        <v>46292</v>
      </c>
      <c r="F44" t="inlineStr">
        <is>
          <t>NORRBOTTENS LÄN</t>
        </is>
      </c>
      <c r="G44" t="inlineStr">
        <is>
          <t>KIRUNA</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13405-2026</t>
        </is>
      </c>
      <c r="B45" t="inlineStr">
        <is>
          <t>avverkningsanmälan</t>
        </is>
      </c>
      <c r="C45" t="inlineStr">
        <is>
          <t>Föryngringsavverkning</t>
        </is>
      </c>
      <c r="D45" s="1" t="n">
        <v>46094</v>
      </c>
      <c r="E45" s="1" t="n">
        <v>46292</v>
      </c>
      <c r="F45" t="inlineStr">
        <is>
          <t>NORRBOTTENS LÄN</t>
        </is>
      </c>
      <c r="G45" t="inlineStr">
        <is>
          <t>KIRUNA</t>
        </is>
      </c>
      <c r="I45" t="n">
        <v>24.5</v>
      </c>
      <c r="J45" t="n">
        <v>0</v>
      </c>
      <c r="K45" t="n">
        <v>0</v>
      </c>
      <c r="L45" t="n">
        <v>0</v>
      </c>
      <c r="M45" t="n">
        <v>0</v>
      </c>
      <c r="N45" t="n">
        <v>0</v>
      </c>
      <c r="O45" t="n">
        <v>0</v>
      </c>
      <c r="P45" t="n">
        <v>0</v>
      </c>
      <c r="Q45" t="n">
        <v>0</v>
      </c>
      <c r="R45" t="n">
        <v>0</v>
      </c>
      <c r="S45" t="n">
        <v>0</v>
      </c>
      <c r="T45" t="n">
        <v>0</v>
      </c>
      <c r="U45" t="n">
        <v>0</v>
      </c>
      <c r="V45" s="2" t="inlineStr"/>
    </row>
    <row r="46" ht="15" customHeight="1">
      <c r="A46" t="inlineStr">
        <is>
          <t>A 50338-2025</t>
        </is>
      </c>
      <c r="B46" t="inlineStr">
        <is>
          <t>avverkningsanmälan</t>
        </is>
      </c>
      <c r="C46" t="inlineStr">
        <is>
          <t>Föryngringsavverkning</t>
        </is>
      </c>
      <c r="D46" s="1" t="n">
        <v>45944</v>
      </c>
      <c r="E46" s="1" t="n">
        <v>46292</v>
      </c>
      <c r="F46" t="inlineStr">
        <is>
          <t>NORRBOTTENS LÄN</t>
        </is>
      </c>
      <c r="G46" t="inlineStr">
        <is>
          <t>KIRUNA</t>
        </is>
      </c>
      <c r="H46" t="inlineStr">
        <is>
          <t>SCA</t>
        </is>
      </c>
      <c r="I46" t="n">
        <v>22.6</v>
      </c>
      <c r="J46" t="n">
        <v>0</v>
      </c>
      <c r="K46" t="n">
        <v>0</v>
      </c>
      <c r="L46" t="n">
        <v>0</v>
      </c>
      <c r="M46" t="n">
        <v>0</v>
      </c>
      <c r="N46" t="n">
        <v>0</v>
      </c>
      <c r="O46" t="n">
        <v>0</v>
      </c>
      <c r="P46" t="n">
        <v>0</v>
      </c>
      <c r="Q46" t="n">
        <v>0</v>
      </c>
      <c r="R46" t="n">
        <v>0</v>
      </c>
      <c r="S46" t="n">
        <v>0</v>
      </c>
      <c r="T46" t="n">
        <v>0</v>
      </c>
      <c r="U46" t="n">
        <v>0</v>
      </c>
      <c r="V46" s="2" t="inlineStr"/>
    </row>
    <row r="47" ht="15" customHeight="1">
      <c r="A47" t="inlineStr">
        <is>
          <t>A 18721-2024</t>
        </is>
      </c>
      <c r="B47" t="inlineStr">
        <is>
          <t>avverkningsanmälan</t>
        </is>
      </c>
      <c r="C47" t="inlineStr">
        <is>
          <t>Föryngringsavverkning</t>
        </is>
      </c>
      <c r="D47" s="1" t="n">
        <v>45426</v>
      </c>
      <c r="E47" s="1" t="n">
        <v>46292</v>
      </c>
      <c r="F47" t="inlineStr">
        <is>
          <t>NORRBOTTENS LÄN</t>
        </is>
      </c>
      <c r="G47" t="inlineStr">
        <is>
          <t>KIRUNA</t>
        </is>
      </c>
      <c r="I47" t="n">
        <v>62.1</v>
      </c>
      <c r="J47" t="n">
        <v>0</v>
      </c>
      <c r="K47" t="n">
        <v>0</v>
      </c>
      <c r="L47" t="n">
        <v>0</v>
      </c>
      <c r="M47" t="n">
        <v>0</v>
      </c>
      <c r="N47" t="n">
        <v>0</v>
      </c>
      <c r="O47" t="n">
        <v>0</v>
      </c>
      <c r="P47" t="n">
        <v>0</v>
      </c>
      <c r="Q47" t="n">
        <v>0</v>
      </c>
      <c r="R47" t="n">
        <v>0</v>
      </c>
      <c r="S47" t="n">
        <v>0</v>
      </c>
      <c r="T47" t="n">
        <v>0</v>
      </c>
      <c r="U47" t="n">
        <v>0</v>
      </c>
      <c r="V47" s="2" t="inlineStr"/>
    </row>
    <row r="48" ht="15" customHeight="1">
      <c r="A48" t="inlineStr">
        <is>
          <t>A 16197-2026</t>
        </is>
      </c>
      <c r="B48" t="inlineStr">
        <is>
          <t>avverkningsanmälan</t>
        </is>
      </c>
      <c r="C48" t="inlineStr">
        <is>
          <t>Avverkning för annat ändamål</t>
        </is>
      </c>
      <c r="D48" s="1" t="n">
        <v>46108</v>
      </c>
      <c r="E48" s="1" t="n">
        <v>46292</v>
      </c>
      <c r="F48" t="inlineStr">
        <is>
          <t>NORRBOTTENS LÄN</t>
        </is>
      </c>
      <c r="G48" t="inlineStr">
        <is>
          <t>KIRUNA</t>
        </is>
      </c>
      <c r="H48" t="inlineStr">
        <is>
          <t>Övriga statliga verk och myndigheter</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21184-2025</t>
        </is>
      </c>
      <c r="B49" t="inlineStr">
        <is>
          <t>avverkningsanmälan</t>
        </is>
      </c>
      <c r="C49" t="inlineStr">
        <is>
          <t>Föryngringsavverkning</t>
        </is>
      </c>
      <c r="D49" s="1" t="n">
        <v>45777</v>
      </c>
      <c r="E49" s="1" t="n">
        <v>46292</v>
      </c>
      <c r="F49" t="inlineStr">
        <is>
          <t>NORRBOTTENS LÄN</t>
        </is>
      </c>
      <c r="G49" t="inlineStr">
        <is>
          <t>KIRUNA</t>
        </is>
      </c>
      <c r="I49" t="n">
        <v>20.1</v>
      </c>
      <c r="J49" t="n">
        <v>0</v>
      </c>
      <c r="K49" t="n">
        <v>0</v>
      </c>
      <c r="L49" t="n">
        <v>0</v>
      </c>
      <c r="M49" t="n">
        <v>0</v>
      </c>
      <c r="N49" t="n">
        <v>0</v>
      </c>
      <c r="O49" t="n">
        <v>0</v>
      </c>
      <c r="P49" t="n">
        <v>0</v>
      </c>
      <c r="Q49" t="n">
        <v>0</v>
      </c>
      <c r="R49" t="n">
        <v>0</v>
      </c>
      <c r="S49" t="n">
        <v>0</v>
      </c>
      <c r="T49" t="n">
        <v>0</v>
      </c>
      <c r="U49" t="n">
        <v>0</v>
      </c>
      <c r="V49" s="2" t="inlineStr"/>
    </row>
    <row r="50" ht="15" customHeight="1">
      <c r="A50" t="inlineStr">
        <is>
          <t>A 20893-2025</t>
        </is>
      </c>
      <c r="B50" t="inlineStr">
        <is>
          <t>avverkningsanmälan</t>
        </is>
      </c>
      <c r="C50" t="inlineStr">
        <is>
          <t>Föryngringsavverkning</t>
        </is>
      </c>
      <c r="D50" s="1" t="n">
        <v>45776</v>
      </c>
      <c r="E50" s="1" t="n">
        <v>46292</v>
      </c>
      <c r="F50" t="inlineStr">
        <is>
          <t>NORRBOTTENS LÄN</t>
        </is>
      </c>
      <c r="G50" t="inlineStr">
        <is>
          <t>KIRUNA</t>
        </is>
      </c>
      <c r="I50" t="n">
        <v>27.3</v>
      </c>
      <c r="J50" t="n">
        <v>0</v>
      </c>
      <c r="K50" t="n">
        <v>0</v>
      </c>
      <c r="L50" t="n">
        <v>0</v>
      </c>
      <c r="M50" t="n">
        <v>0</v>
      </c>
      <c r="N50" t="n">
        <v>0</v>
      </c>
      <c r="O50" t="n">
        <v>0</v>
      </c>
      <c r="P50" t="n">
        <v>0</v>
      </c>
      <c r="Q50" t="n">
        <v>0</v>
      </c>
      <c r="R50" t="n">
        <v>0</v>
      </c>
      <c r="S50" t="n">
        <v>0</v>
      </c>
      <c r="T50" t="n">
        <v>0</v>
      </c>
      <c r="U50" t="n">
        <v>0</v>
      </c>
      <c r="V50" s="2" t="inlineStr"/>
    </row>
    <row r="51" ht="15" customHeight="1">
      <c r="A51" t="inlineStr">
        <is>
          <t>A 9068-2023</t>
        </is>
      </c>
      <c r="B51" t="inlineStr">
        <is>
          <t>avverkningsanmälan</t>
        </is>
      </c>
      <c r="C51" t="inlineStr">
        <is>
          <t>Föryngringsavverkning</t>
        </is>
      </c>
      <c r="D51" s="1" t="n">
        <v>44979</v>
      </c>
      <c r="E51" s="1" t="n">
        <v>46292</v>
      </c>
      <c r="F51" t="inlineStr">
        <is>
          <t>NORRBOTTENS LÄN</t>
        </is>
      </c>
      <c r="G51" t="inlineStr">
        <is>
          <t>KIRUNA</t>
        </is>
      </c>
      <c r="H51" t="inlineStr">
        <is>
          <t>SCA</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18388-2026</t>
        </is>
      </c>
      <c r="B52" t="inlineStr">
        <is>
          <t>avverkningsanmälan</t>
        </is>
      </c>
      <c r="C52" t="inlineStr">
        <is>
          <t>Föryngringsavverkning</t>
        </is>
      </c>
      <c r="D52" s="1" t="n">
        <v>46126</v>
      </c>
      <c r="E52" s="1" t="n">
        <v>46292</v>
      </c>
      <c r="F52" t="inlineStr">
        <is>
          <t>NORRBOTTENS LÄN</t>
        </is>
      </c>
      <c r="G52" t="inlineStr">
        <is>
          <t>KIRUNA</t>
        </is>
      </c>
      <c r="I52" t="n">
        <v>5.2</v>
      </c>
      <c r="J52" t="n">
        <v>0</v>
      </c>
      <c r="K52" t="n">
        <v>0</v>
      </c>
      <c r="L52" t="n">
        <v>0</v>
      </c>
      <c r="M52" t="n">
        <v>0</v>
      </c>
      <c r="N52" t="n">
        <v>0</v>
      </c>
      <c r="O52" t="n">
        <v>0</v>
      </c>
      <c r="P52" t="n">
        <v>0</v>
      </c>
      <c r="Q52" t="n">
        <v>0</v>
      </c>
      <c r="R52" t="n">
        <v>0</v>
      </c>
      <c r="S52" t="n">
        <v>0</v>
      </c>
      <c r="T52" t="n">
        <v>0</v>
      </c>
      <c r="U52" t="n">
        <v>0</v>
      </c>
      <c r="V52" s="2" t="inlineStr"/>
    </row>
    <row r="53" ht="15" customHeight="1">
      <c r="A53" t="inlineStr">
        <is>
          <t>A 12937-2026</t>
        </is>
      </c>
      <c r="B53" t="inlineStr">
        <is>
          <t>avverkningsanmälan</t>
        </is>
      </c>
      <c r="C53" t="inlineStr">
        <is>
          <t>Föryngringsavverkning</t>
        </is>
      </c>
      <c r="D53" s="1" t="n">
        <v>46092</v>
      </c>
      <c r="E53" s="1" t="n">
        <v>46292</v>
      </c>
      <c r="F53" t="inlineStr">
        <is>
          <t>NORRBOTTENS LÄN</t>
        </is>
      </c>
      <c r="G53" t="inlineStr">
        <is>
          <t>KIRUNA</t>
        </is>
      </c>
      <c r="I53" t="n">
        <v>37.2</v>
      </c>
      <c r="J53" t="n">
        <v>0</v>
      </c>
      <c r="K53" t="n">
        <v>0</v>
      </c>
      <c r="L53" t="n">
        <v>0</v>
      </c>
      <c r="M53" t="n">
        <v>0</v>
      </c>
      <c r="N53" t="n">
        <v>0</v>
      </c>
      <c r="O53" t="n">
        <v>0</v>
      </c>
      <c r="P53" t="n">
        <v>0</v>
      </c>
      <c r="Q53" t="n">
        <v>0</v>
      </c>
      <c r="R53" t="n">
        <v>0</v>
      </c>
      <c r="S53" t="n">
        <v>0</v>
      </c>
      <c r="T53" t="n">
        <v>0</v>
      </c>
      <c r="U53" t="n">
        <v>0</v>
      </c>
      <c r="V53" s="2" t="inlineStr"/>
    </row>
    <row r="54" ht="15" customHeight="1">
      <c r="A54" t="inlineStr">
        <is>
          <t>A 12969-2026</t>
        </is>
      </c>
      <c r="B54" t="inlineStr">
        <is>
          <t>avverkningsanmälan</t>
        </is>
      </c>
      <c r="C54" t="inlineStr">
        <is>
          <t>Föryngringsavverkning</t>
        </is>
      </c>
      <c r="D54" s="1" t="n">
        <v>46092</v>
      </c>
      <c r="E54" s="1" t="n">
        <v>46292</v>
      </c>
      <c r="F54" t="inlineStr">
        <is>
          <t>NORRBOTTENS LÄN</t>
        </is>
      </c>
      <c r="G54" t="inlineStr">
        <is>
          <t>KIRUNA</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23469-2022</t>
        </is>
      </c>
      <c r="B55" t="inlineStr">
        <is>
          <t>avverkningsanmälan</t>
        </is>
      </c>
      <c r="C55" t="inlineStr">
        <is>
          <t>Föryngringsavverkning</t>
        </is>
      </c>
      <c r="D55" s="1" t="n">
        <v>44721</v>
      </c>
      <c r="E55" s="1" t="n">
        <v>46292</v>
      </c>
      <c r="F55" t="inlineStr">
        <is>
          <t>NORRBOTTENS LÄN</t>
        </is>
      </c>
      <c r="G55" t="inlineStr">
        <is>
          <t>KIRUNA</t>
        </is>
      </c>
      <c r="I55" t="n">
        <v>11.8</v>
      </c>
      <c r="J55" t="n">
        <v>0</v>
      </c>
      <c r="K55" t="n">
        <v>0</v>
      </c>
      <c r="L55" t="n">
        <v>0</v>
      </c>
      <c r="M55" t="n">
        <v>0</v>
      </c>
      <c r="N55" t="n">
        <v>0</v>
      </c>
      <c r="O55" t="n">
        <v>0</v>
      </c>
      <c r="P55" t="n">
        <v>0</v>
      </c>
      <c r="Q55" t="n">
        <v>0</v>
      </c>
      <c r="R55" t="n">
        <v>0</v>
      </c>
      <c r="S55" t="n">
        <v>0</v>
      </c>
      <c r="T55" t="n">
        <v>0</v>
      </c>
      <c r="U55" t="n">
        <v>0</v>
      </c>
      <c r="V55" s="2" t="inlineStr"/>
    </row>
    <row r="56" ht="15" customHeight="1">
      <c r="A56" t="inlineStr">
        <is>
          <t>A 62452-2022</t>
        </is>
      </c>
      <c r="B56" t="inlineStr">
        <is>
          <t>avverkningsanmälan</t>
        </is>
      </c>
      <c r="C56" t="inlineStr">
        <is>
          <t>Föryngringsavverkning</t>
        </is>
      </c>
      <c r="D56" s="1" t="n">
        <v>44916</v>
      </c>
      <c r="E56" s="1" t="n">
        <v>46292</v>
      </c>
      <c r="F56" t="inlineStr">
        <is>
          <t>NORRBOTTENS LÄN</t>
        </is>
      </c>
      <c r="G56" t="inlineStr">
        <is>
          <t>KIRUNA</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62460-2022</t>
        </is>
      </c>
      <c r="B57" t="inlineStr">
        <is>
          <t>avverkningsanmälan</t>
        </is>
      </c>
      <c r="C57" t="inlineStr">
        <is>
          <t>Föryngringsavverkning</t>
        </is>
      </c>
      <c r="D57" s="1" t="n">
        <v>44916</v>
      </c>
      <c r="E57" s="1" t="n">
        <v>46292</v>
      </c>
      <c r="F57" t="inlineStr">
        <is>
          <t>NORRBOTTENS LÄN</t>
        </is>
      </c>
      <c r="G57" t="inlineStr">
        <is>
          <t>KIRUNA</t>
        </is>
      </c>
      <c r="I57" t="n">
        <v>13.4</v>
      </c>
      <c r="J57" t="n">
        <v>0</v>
      </c>
      <c r="K57" t="n">
        <v>0</v>
      </c>
      <c r="L57" t="n">
        <v>0</v>
      </c>
      <c r="M57" t="n">
        <v>0</v>
      </c>
      <c r="N57" t="n">
        <v>0</v>
      </c>
      <c r="O57" t="n">
        <v>0</v>
      </c>
      <c r="P57" t="n">
        <v>0</v>
      </c>
      <c r="Q57" t="n">
        <v>0</v>
      </c>
      <c r="R57" t="n">
        <v>0</v>
      </c>
      <c r="S57" t="n">
        <v>0</v>
      </c>
      <c r="T57" t="n">
        <v>0</v>
      </c>
      <c r="U57" t="n">
        <v>0</v>
      </c>
      <c r="V57" s="2" t="inlineStr"/>
    </row>
    <row r="58" ht="15" customHeight="1">
      <c r="A58" t="inlineStr">
        <is>
          <t>A 47730-2024</t>
        </is>
      </c>
      <c r="B58" t="inlineStr">
        <is>
          <t>avverkningsanmälan</t>
        </is>
      </c>
      <c r="C58" t="inlineStr">
        <is>
          <t>Föryngringsavverkning</t>
        </is>
      </c>
      <c r="D58" s="1" t="n">
        <v>45588</v>
      </c>
      <c r="E58" s="1" t="n">
        <v>46292</v>
      </c>
      <c r="F58" t="inlineStr">
        <is>
          <t>NORRBOTTENS LÄN</t>
        </is>
      </c>
      <c r="G58" t="inlineStr">
        <is>
          <t>KIRUNA</t>
        </is>
      </c>
      <c r="H58" t="inlineStr">
        <is>
          <t>Allmännings- och besparingsskogar</t>
        </is>
      </c>
      <c r="I58" t="n">
        <v>3.7</v>
      </c>
      <c r="J58" t="n">
        <v>0</v>
      </c>
      <c r="K58" t="n">
        <v>0</v>
      </c>
      <c r="L58" t="n">
        <v>0</v>
      </c>
      <c r="M58" t="n">
        <v>0</v>
      </c>
      <c r="N58" t="n">
        <v>0</v>
      </c>
      <c r="O58" t="n">
        <v>0</v>
      </c>
      <c r="P58" t="n">
        <v>0</v>
      </c>
      <c r="Q58" t="n">
        <v>0</v>
      </c>
      <c r="R58" t="n">
        <v>0</v>
      </c>
      <c r="S58" t="n">
        <v>0</v>
      </c>
      <c r="T58" t="n">
        <v>0</v>
      </c>
      <c r="U58" t="n">
        <v>0</v>
      </c>
      <c r="V58" s="2" t="inlineStr"/>
    </row>
    <row r="59" ht="15" customHeight="1">
      <c r="A59" t="inlineStr">
        <is>
          <t>A 36939-2022</t>
        </is>
      </c>
      <c r="B59" t="inlineStr">
        <is>
          <t>avverkningsanmälan</t>
        </is>
      </c>
      <c r="C59" t="inlineStr">
        <is>
          <t>Avverkning för annat ändamål</t>
        </is>
      </c>
      <c r="D59" s="1" t="n">
        <v>44805</v>
      </c>
      <c r="E59" s="1" t="n">
        <v>46292</v>
      </c>
      <c r="F59" t="inlineStr">
        <is>
          <t>NORRBOTTENS LÄN</t>
        </is>
      </c>
      <c r="G59" t="inlineStr">
        <is>
          <t>KIRUNA</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49704-2024</t>
        </is>
      </c>
      <c r="B60" t="inlineStr">
        <is>
          <t>avverkningsanmälan</t>
        </is>
      </c>
      <c r="C60" t="inlineStr">
        <is>
          <t>Föryngringsavverkning</t>
        </is>
      </c>
      <c r="D60" s="1" t="n">
        <v>45596</v>
      </c>
      <c r="E60" s="1" t="n">
        <v>46292</v>
      </c>
      <c r="F60" t="inlineStr">
        <is>
          <t>NORRBOTTENS LÄN</t>
        </is>
      </c>
      <c r="G60" t="inlineStr">
        <is>
          <t>KIRUNA</t>
        </is>
      </c>
      <c r="I60" t="n">
        <v>17.4</v>
      </c>
      <c r="J60" t="n">
        <v>0</v>
      </c>
      <c r="K60" t="n">
        <v>0</v>
      </c>
      <c r="L60" t="n">
        <v>0</v>
      </c>
      <c r="M60" t="n">
        <v>0</v>
      </c>
      <c r="N60" t="n">
        <v>0</v>
      </c>
      <c r="O60" t="n">
        <v>0</v>
      </c>
      <c r="P60" t="n">
        <v>0</v>
      </c>
      <c r="Q60" t="n">
        <v>0</v>
      </c>
      <c r="R60" t="n">
        <v>0</v>
      </c>
      <c r="S60" t="n">
        <v>0</v>
      </c>
      <c r="T60" t="n">
        <v>0</v>
      </c>
      <c r="U60" t="n">
        <v>0</v>
      </c>
      <c r="V60" s="2" t="inlineStr"/>
    </row>
    <row r="61" ht="15" customHeight="1">
      <c r="A61" t="inlineStr">
        <is>
          <t>A 22491-2024</t>
        </is>
      </c>
      <c r="B61" t="inlineStr">
        <is>
          <t>avverkningsanmälan</t>
        </is>
      </c>
      <c r="C61" t="inlineStr">
        <is>
          <t>Föryngringsavverkning</t>
        </is>
      </c>
      <c r="D61" s="1" t="n">
        <v>45447</v>
      </c>
      <c r="E61" s="1" t="n">
        <v>46292</v>
      </c>
      <c r="F61" t="inlineStr">
        <is>
          <t>NORRBOTTENS LÄN</t>
        </is>
      </c>
      <c r="G61" t="inlineStr">
        <is>
          <t>KIRUNA</t>
        </is>
      </c>
      <c r="I61" t="n">
        <v>9</v>
      </c>
      <c r="J61" t="n">
        <v>0</v>
      </c>
      <c r="K61" t="n">
        <v>0</v>
      </c>
      <c r="L61" t="n">
        <v>0</v>
      </c>
      <c r="M61" t="n">
        <v>0</v>
      </c>
      <c r="N61" t="n">
        <v>0</v>
      </c>
      <c r="O61" t="n">
        <v>0</v>
      </c>
      <c r="P61" t="n">
        <v>0</v>
      </c>
      <c r="Q61" t="n">
        <v>0</v>
      </c>
      <c r="R61" t="n">
        <v>0</v>
      </c>
      <c r="S61" t="n">
        <v>0</v>
      </c>
      <c r="T61" t="n">
        <v>0</v>
      </c>
      <c r="U61" t="n">
        <v>0</v>
      </c>
      <c r="V61" s="2" t="inlineStr"/>
    </row>
    <row r="62" ht="15" customHeight="1">
      <c r="A62" t="inlineStr">
        <is>
          <t>A 34664-2025</t>
        </is>
      </c>
      <c r="B62" t="inlineStr">
        <is>
          <t>avverkningsanmälan</t>
        </is>
      </c>
      <c r="C62" t="inlineStr">
        <is>
          <t>Föryngringsavverkning</t>
        </is>
      </c>
      <c r="D62" s="1" t="n">
        <v>45848</v>
      </c>
      <c r="E62" s="1" t="n">
        <v>46292</v>
      </c>
      <c r="F62" t="inlineStr">
        <is>
          <t>NORRBOTTENS LÄN</t>
        </is>
      </c>
      <c r="G62" t="inlineStr">
        <is>
          <t>KIRUNA</t>
        </is>
      </c>
      <c r="I62" t="n">
        <v>8.4</v>
      </c>
      <c r="J62" t="n">
        <v>0</v>
      </c>
      <c r="K62" t="n">
        <v>0</v>
      </c>
      <c r="L62" t="n">
        <v>0</v>
      </c>
      <c r="M62" t="n">
        <v>0</v>
      </c>
      <c r="N62" t="n">
        <v>0</v>
      </c>
      <c r="O62" t="n">
        <v>0</v>
      </c>
      <c r="P62" t="n">
        <v>0</v>
      </c>
      <c r="Q62" t="n">
        <v>0</v>
      </c>
      <c r="R62" t="n">
        <v>0</v>
      </c>
      <c r="S62" t="n">
        <v>0</v>
      </c>
      <c r="T62" t="n">
        <v>0</v>
      </c>
      <c r="U62" t="n">
        <v>0</v>
      </c>
      <c r="V62" s="2" t="inlineStr"/>
    </row>
    <row r="63" ht="15" customHeight="1">
      <c r="A63" t="inlineStr">
        <is>
          <t>A 34663-2025</t>
        </is>
      </c>
      <c r="B63" t="inlineStr">
        <is>
          <t>avverkningsanmälan</t>
        </is>
      </c>
      <c r="C63" t="inlineStr">
        <is>
          <t>Föryngringsavverkning</t>
        </is>
      </c>
      <c r="D63" s="1" t="n">
        <v>45848</v>
      </c>
      <c r="E63" s="1" t="n">
        <v>46292</v>
      </c>
      <c r="F63" t="inlineStr">
        <is>
          <t>NORRBOTTENS LÄN</t>
        </is>
      </c>
      <c r="G63" t="inlineStr">
        <is>
          <t>KIRUNA</t>
        </is>
      </c>
      <c r="I63" t="n">
        <v>5.1</v>
      </c>
      <c r="J63" t="n">
        <v>0</v>
      </c>
      <c r="K63" t="n">
        <v>0</v>
      </c>
      <c r="L63" t="n">
        <v>0</v>
      </c>
      <c r="M63" t="n">
        <v>0</v>
      </c>
      <c r="N63" t="n">
        <v>0</v>
      </c>
      <c r="O63" t="n">
        <v>0</v>
      </c>
      <c r="P63" t="n">
        <v>0</v>
      </c>
      <c r="Q63" t="n">
        <v>0</v>
      </c>
      <c r="R63" t="n">
        <v>0</v>
      </c>
      <c r="S63" t="n">
        <v>0</v>
      </c>
      <c r="T63" t="n">
        <v>0</v>
      </c>
      <c r="U63" t="n">
        <v>0</v>
      </c>
      <c r="V63" s="2" t="inlineStr"/>
    </row>
    <row r="64" ht="15" customHeight="1">
      <c r="A64" t="inlineStr">
        <is>
          <t>A 38577-2024</t>
        </is>
      </c>
      <c r="B64" t="inlineStr">
        <is>
          <t>avverkningsanmälan</t>
        </is>
      </c>
      <c r="C64" t="inlineStr">
        <is>
          <t>Föryngringsavverkning</t>
        </is>
      </c>
      <c r="D64" s="1" t="n">
        <v>45546</v>
      </c>
      <c r="E64" s="1" t="n">
        <v>46292</v>
      </c>
      <c r="F64" t="inlineStr">
        <is>
          <t>NORRBOTTENS LÄN</t>
        </is>
      </c>
      <c r="G64" t="inlineStr">
        <is>
          <t>KIRUNA</t>
        </is>
      </c>
      <c r="I64" t="n">
        <v>39.8</v>
      </c>
      <c r="J64" t="n">
        <v>0</v>
      </c>
      <c r="K64" t="n">
        <v>0</v>
      </c>
      <c r="L64" t="n">
        <v>0</v>
      </c>
      <c r="M64" t="n">
        <v>0</v>
      </c>
      <c r="N64" t="n">
        <v>0</v>
      </c>
      <c r="O64" t="n">
        <v>0</v>
      </c>
      <c r="P64" t="n">
        <v>0</v>
      </c>
      <c r="Q64" t="n">
        <v>0</v>
      </c>
      <c r="R64" t="n">
        <v>0</v>
      </c>
      <c r="S64" t="n">
        <v>0</v>
      </c>
      <c r="T64" t="n">
        <v>0</v>
      </c>
      <c r="U64" t="n">
        <v>0</v>
      </c>
      <c r="V64" s="2" t="inlineStr"/>
    </row>
    <row r="65" ht="15" customHeight="1">
      <c r="A65" t="inlineStr">
        <is>
          <t>A 13526-2024</t>
        </is>
      </c>
      <c r="B65" t="inlineStr">
        <is>
          <t>avverkningsanmälan</t>
        </is>
      </c>
      <c r="C65" t="inlineStr">
        <is>
          <t>Föryngringsavverkning</t>
        </is>
      </c>
      <c r="D65" s="1" t="n">
        <v>45387</v>
      </c>
      <c r="E65" s="1" t="n">
        <v>46292</v>
      </c>
      <c r="F65" t="inlineStr">
        <is>
          <t>NORRBOTTENS LÄN</t>
        </is>
      </c>
      <c r="G65" t="inlineStr">
        <is>
          <t>KIRUNA</t>
        </is>
      </c>
      <c r="I65" t="n">
        <v>8.199999999999999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39247-2023</t>
        </is>
      </c>
      <c r="B66" t="inlineStr">
        <is>
          <t>avverkningsanmälan</t>
        </is>
      </c>
      <c r="C66" t="inlineStr">
        <is>
          <t>Föryngringsavverkning</t>
        </is>
      </c>
      <c r="D66" s="1" t="n">
        <v>45162</v>
      </c>
      <c r="E66" s="1" t="n">
        <v>46292</v>
      </c>
      <c r="F66" t="inlineStr">
        <is>
          <t>NORRBOTTENS LÄN</t>
        </is>
      </c>
      <c r="G66" t="inlineStr">
        <is>
          <t>KIRUNA</t>
        </is>
      </c>
      <c r="I66" t="n">
        <v>11.7</v>
      </c>
      <c r="J66" t="n">
        <v>0</v>
      </c>
      <c r="K66" t="n">
        <v>0</v>
      </c>
      <c r="L66" t="n">
        <v>0</v>
      </c>
      <c r="M66" t="n">
        <v>0</v>
      </c>
      <c r="N66" t="n">
        <v>0</v>
      </c>
      <c r="O66" t="n">
        <v>0</v>
      </c>
      <c r="P66" t="n">
        <v>0</v>
      </c>
      <c r="Q66" t="n">
        <v>0</v>
      </c>
      <c r="R66" t="n">
        <v>0</v>
      </c>
      <c r="S66" t="n">
        <v>0</v>
      </c>
      <c r="T66" t="n">
        <v>0</v>
      </c>
      <c r="U66" t="n">
        <v>0</v>
      </c>
      <c r="V66" s="2" t="inlineStr"/>
    </row>
    <row r="67" ht="15" customHeight="1">
      <c r="A67" t="inlineStr">
        <is>
          <t>A 20744-2024</t>
        </is>
      </c>
      <c r="B67" t="inlineStr">
        <is>
          <t>avverkningsanmälan</t>
        </is>
      </c>
      <c r="C67" t="inlineStr">
        <is>
          <t>Föryngringsavverkning</t>
        </is>
      </c>
      <c r="D67" s="1" t="n">
        <v>45436</v>
      </c>
      <c r="E67" s="1" t="n">
        <v>46292</v>
      </c>
      <c r="F67" t="inlineStr">
        <is>
          <t>NORRBOTTENS LÄN</t>
        </is>
      </c>
      <c r="G67" t="inlineStr">
        <is>
          <t>KIRUNA</t>
        </is>
      </c>
      <c r="I67" t="n">
        <v>9.699999999999999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30562-2026</t>
        </is>
      </c>
      <c r="B68" t="inlineStr">
        <is>
          <t>avverkningsanmälan</t>
        </is>
      </c>
      <c r="C68" t="inlineStr">
        <is>
          <t>Föryngringsavverkning</t>
        </is>
      </c>
      <c r="D68" s="1" t="n">
        <v>46210</v>
      </c>
      <c r="E68" s="1" t="n">
        <v>46292</v>
      </c>
      <c r="F68" t="inlineStr">
        <is>
          <t>NORRBOTTENS LÄN</t>
        </is>
      </c>
      <c r="G68" t="inlineStr">
        <is>
          <t>KIRUNA</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18738-2022</t>
        </is>
      </c>
      <c r="B69" t="inlineStr">
        <is>
          <t>avverkningsanmälan</t>
        </is>
      </c>
      <c r="C69" t="inlineStr">
        <is>
          <t>Avverkning för annat ändamål</t>
        </is>
      </c>
      <c r="D69" s="1" t="n">
        <v>44687</v>
      </c>
      <c r="E69" s="1" t="n">
        <v>46292</v>
      </c>
      <c r="F69" t="inlineStr">
        <is>
          <t>NORRBOTTENS LÄN</t>
        </is>
      </c>
      <c r="G69" t="inlineStr">
        <is>
          <t>KIRUNA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30594-2026</t>
        </is>
      </c>
      <c r="B70" t="inlineStr">
        <is>
          <t>avverkningsanmälan</t>
        </is>
      </c>
      <c r="C70" t="inlineStr">
        <is>
          <t>Föryngringsavverkning</t>
        </is>
      </c>
      <c r="D70" s="1" t="n">
        <v>46210</v>
      </c>
      <c r="E70" s="1" t="n">
        <v>46292</v>
      </c>
      <c r="F70" t="inlineStr">
        <is>
          <t>NORRBOTTENS LÄN</t>
        </is>
      </c>
      <c r="G70" t="inlineStr">
        <is>
          <t>KIRUNA</t>
        </is>
      </c>
      <c r="I70" t="n">
        <v>5</v>
      </c>
      <c r="J70" t="n">
        <v>0</v>
      </c>
      <c r="K70" t="n">
        <v>0</v>
      </c>
      <c r="L70" t="n">
        <v>0</v>
      </c>
      <c r="M70" t="n">
        <v>0</v>
      </c>
      <c r="N70" t="n">
        <v>0</v>
      </c>
      <c r="O70" t="n">
        <v>0</v>
      </c>
      <c r="P70" t="n">
        <v>0</v>
      </c>
      <c r="Q70" t="n">
        <v>0</v>
      </c>
      <c r="R70" t="n">
        <v>0</v>
      </c>
      <c r="S70" t="n">
        <v>0</v>
      </c>
      <c r="T70" t="n">
        <v>0</v>
      </c>
      <c r="U70" t="n">
        <v>0</v>
      </c>
      <c r="V70" s="2" t="inlineStr"/>
    </row>
    <row r="71" ht="15" customHeight="1">
      <c r="A71" t="inlineStr">
        <is>
          <t>A 30591-2026</t>
        </is>
      </c>
      <c r="B71" t="inlineStr">
        <is>
          <t>avverkningsanmälan</t>
        </is>
      </c>
      <c r="C71" t="inlineStr">
        <is>
          <t>Föryngringsavverkning</t>
        </is>
      </c>
      <c r="D71" s="1" t="n">
        <v>46210</v>
      </c>
      <c r="E71" s="1" t="n">
        <v>46292</v>
      </c>
      <c r="F71" t="inlineStr">
        <is>
          <t>NORRBOTTENS LÄN</t>
        </is>
      </c>
      <c r="G71" t="inlineStr">
        <is>
          <t>KIRUNA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28707-2022</t>
        </is>
      </c>
      <c r="B72" t="inlineStr">
        <is>
          <t>avverkningsanmälan</t>
        </is>
      </c>
      <c r="C72" t="inlineStr">
        <is>
          <t>Föryngringsavverkning</t>
        </is>
      </c>
      <c r="D72" s="1" t="n">
        <v>44748</v>
      </c>
      <c r="E72" s="1" t="n">
        <v>46292</v>
      </c>
      <c r="F72" t="inlineStr">
        <is>
          <t>NORRBOTTENS LÄN</t>
        </is>
      </c>
      <c r="G72" t="inlineStr">
        <is>
          <t>KIRUNA</t>
        </is>
      </c>
      <c r="I72" t="n">
        <v>15.2</v>
      </c>
      <c r="J72" t="n">
        <v>0</v>
      </c>
      <c r="K72" t="n">
        <v>0</v>
      </c>
      <c r="L72" t="n">
        <v>0</v>
      </c>
      <c r="M72" t="n">
        <v>0</v>
      </c>
      <c r="N72" t="n">
        <v>0</v>
      </c>
      <c r="O72" t="n">
        <v>0</v>
      </c>
      <c r="P72" t="n">
        <v>0</v>
      </c>
      <c r="Q72" t="n">
        <v>0</v>
      </c>
      <c r="R72" t="n">
        <v>0</v>
      </c>
      <c r="S72" t="n">
        <v>0</v>
      </c>
      <c r="T72" t="n">
        <v>0</v>
      </c>
      <c r="U72" t="n">
        <v>0</v>
      </c>
      <c r="V72" s="2" t="inlineStr"/>
    </row>
    <row r="73" ht="15" customHeight="1">
      <c r="A73" t="inlineStr">
        <is>
          <t>A 39006-2023</t>
        </is>
      </c>
      <c r="B73" t="inlineStr">
        <is>
          <t>avverkningsanmälan</t>
        </is>
      </c>
      <c r="C73" t="inlineStr">
        <is>
          <t>Avverkning för annat ändamål</t>
        </is>
      </c>
      <c r="D73" s="1" t="n">
        <v>45162</v>
      </c>
      <c r="E73" s="1" t="n">
        <v>46292</v>
      </c>
      <c r="F73" t="inlineStr">
        <is>
          <t>NORRBOTTENS LÄN</t>
        </is>
      </c>
      <c r="G73" t="inlineStr">
        <is>
          <t>KIRUNA</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39271-2023</t>
        </is>
      </c>
      <c r="B74" t="inlineStr">
        <is>
          <t>avverkningsanmälan</t>
        </is>
      </c>
      <c r="C74" t="inlineStr">
        <is>
          <t>Föryngringsavverkning</t>
        </is>
      </c>
      <c r="D74" s="1" t="n">
        <v>45162</v>
      </c>
      <c r="E74" s="1" t="n">
        <v>46292</v>
      </c>
      <c r="F74" t="inlineStr">
        <is>
          <t>NORRBOTTENS LÄN</t>
        </is>
      </c>
      <c r="G74" t="inlineStr">
        <is>
          <t>KIRUNA</t>
        </is>
      </c>
      <c r="I74" t="n">
        <v>51.9</v>
      </c>
      <c r="J74" t="n">
        <v>0</v>
      </c>
      <c r="K74" t="n">
        <v>0</v>
      </c>
      <c r="L74" t="n">
        <v>0</v>
      </c>
      <c r="M74" t="n">
        <v>0</v>
      </c>
      <c r="N74" t="n">
        <v>0</v>
      </c>
      <c r="O74" t="n">
        <v>0</v>
      </c>
      <c r="P74" t="n">
        <v>0</v>
      </c>
      <c r="Q74" t="n">
        <v>0</v>
      </c>
      <c r="R74" t="n">
        <v>0</v>
      </c>
      <c r="S74" t="n">
        <v>0</v>
      </c>
      <c r="T74" t="n">
        <v>0</v>
      </c>
      <c r="U74" t="n">
        <v>0</v>
      </c>
      <c r="V74" s="2" t="inlineStr"/>
    </row>
    <row r="75" ht="15" customHeight="1">
      <c r="A75" t="inlineStr">
        <is>
          <t>A 93-2024</t>
        </is>
      </c>
      <c r="B75" t="inlineStr">
        <is>
          <t>avverkningsanmälan</t>
        </is>
      </c>
      <c r="C75" t="inlineStr">
        <is>
          <t>Avverkning för annat ändamål</t>
        </is>
      </c>
      <c r="D75" s="1" t="n">
        <v>45293</v>
      </c>
      <c r="E75" s="1" t="n">
        <v>46292</v>
      </c>
      <c r="F75" t="inlineStr">
        <is>
          <t>NORRBOTTENS LÄN</t>
        </is>
      </c>
      <c r="G75" t="inlineStr">
        <is>
          <t>KIRUNA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35765-2026</t>
        </is>
      </c>
      <c r="B76" t="inlineStr">
        <is>
          <t>avverkningsanmälan</t>
        </is>
      </c>
      <c r="C76" t="inlineStr">
        <is>
          <t>Föryngringsavverkning</t>
        </is>
      </c>
      <c r="D76" s="1" t="n">
        <v>46265</v>
      </c>
      <c r="E76" s="1" t="n">
        <v>46292</v>
      </c>
      <c r="F76" t="inlineStr">
        <is>
          <t>NORRBOTTENS LÄN</t>
        </is>
      </c>
      <c r="G76" t="inlineStr">
        <is>
          <t>KIRUNA</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37993-2026</t>
        </is>
      </c>
      <c r="B77" t="inlineStr">
        <is>
          <t>avverkningsanmälan</t>
        </is>
      </c>
      <c r="C77" t="inlineStr">
        <is>
          <t>Föryngringsavverkning</t>
        </is>
      </c>
      <c r="D77" s="1" t="n">
        <v>46280</v>
      </c>
      <c r="E77" s="1" t="n">
        <v>46292</v>
      </c>
      <c r="F77" t="inlineStr">
        <is>
          <t>NORRBOTTENS LÄN</t>
        </is>
      </c>
      <c r="G77" t="inlineStr">
        <is>
          <t>KIRUNA</t>
        </is>
      </c>
      <c r="I77" t="n">
        <v>54.2</v>
      </c>
      <c r="J77" t="n">
        <v>0</v>
      </c>
      <c r="K77" t="n">
        <v>0</v>
      </c>
      <c r="L77" t="n">
        <v>0</v>
      </c>
      <c r="M77" t="n">
        <v>0</v>
      </c>
      <c r="N77" t="n">
        <v>0</v>
      </c>
      <c r="O77" t="n">
        <v>0</v>
      </c>
      <c r="P77" t="n">
        <v>0</v>
      </c>
      <c r="Q77" t="n">
        <v>0</v>
      </c>
      <c r="R77" t="n">
        <v>0</v>
      </c>
      <c r="S77" t="n">
        <v>0</v>
      </c>
      <c r="T77" t="n">
        <v>0</v>
      </c>
      <c r="U77" t="n">
        <v>0</v>
      </c>
      <c r="V77" s="2" t="inlineStr"/>
    </row>
    <row r="78" ht="15" customHeight="1">
      <c r="A78" t="inlineStr">
        <is>
          <t>A 39321-2026</t>
        </is>
      </c>
      <c r="B78" t="inlineStr">
        <is>
          <t>avverkningsanmälan</t>
        </is>
      </c>
      <c r="C78" t="inlineStr">
        <is>
          <t>Föryngringsavverkning</t>
        </is>
      </c>
      <c r="D78" s="1" t="n">
        <v>46288</v>
      </c>
      <c r="E78" s="1" t="n">
        <v>46292</v>
      </c>
      <c r="F78" t="inlineStr">
        <is>
          <t>NORRBOTTENS LÄN</t>
        </is>
      </c>
      <c r="G78" t="inlineStr">
        <is>
          <t>KIRUNA</t>
        </is>
      </c>
      <c r="I78" t="n">
        <v>13.6</v>
      </c>
      <c r="J78" t="n">
        <v>0</v>
      </c>
      <c r="K78" t="n">
        <v>0</v>
      </c>
      <c r="L78" t="n">
        <v>0</v>
      </c>
      <c r="M78" t="n">
        <v>0</v>
      </c>
      <c r="N78" t="n">
        <v>0</v>
      </c>
      <c r="O78" t="n">
        <v>0</v>
      </c>
      <c r="P78" t="n">
        <v>0</v>
      </c>
      <c r="Q78" t="n">
        <v>0</v>
      </c>
      <c r="R78" t="n">
        <v>0</v>
      </c>
      <c r="S78" t="n">
        <v>0</v>
      </c>
      <c r="T78" t="n">
        <v>0</v>
      </c>
      <c r="U78" t="n">
        <v>0</v>
      </c>
      <c r="V78" s="2" t="inlineStr"/>
    </row>
    <row r="79" ht="15" customHeight="1">
      <c r="A79" t="inlineStr">
        <is>
          <t>A 39064-2026</t>
        </is>
      </c>
      <c r="B79" t="inlineStr">
        <is>
          <t>avverkningsanmälan</t>
        </is>
      </c>
      <c r="C79" t="inlineStr">
        <is>
          <t>Föryngringsavverkning</t>
        </is>
      </c>
      <c r="D79" s="1" t="n">
        <v>46287</v>
      </c>
      <c r="E79" s="1" t="n">
        <v>46292</v>
      </c>
      <c r="F79" t="inlineStr">
        <is>
          <t>NORRBOTTENS LÄN</t>
        </is>
      </c>
      <c r="G79" t="inlineStr">
        <is>
          <t>KIRUNA</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21268-2026</t>
        </is>
      </c>
      <c r="B80" t="inlineStr">
        <is>
          <t>avverkningsanmälan</t>
        </is>
      </c>
      <c r="C80" t="inlineStr">
        <is>
          <t>Föryngringsavverkning</t>
        </is>
      </c>
      <c r="D80" s="1" t="n">
        <v>46147</v>
      </c>
      <c r="E80" s="1" t="n">
        <v>46292</v>
      </c>
      <c r="F80" t="inlineStr">
        <is>
          <t>NORRBOTTENS LÄN</t>
        </is>
      </c>
      <c r="G80" t="inlineStr">
        <is>
          <t>KIRUNA</t>
        </is>
      </c>
      <c r="I80" t="n">
        <v>35.7</v>
      </c>
      <c r="J80" t="n">
        <v>0</v>
      </c>
      <c r="K80" t="n">
        <v>0</v>
      </c>
      <c r="L80" t="n">
        <v>0</v>
      </c>
      <c r="M80" t="n">
        <v>0</v>
      </c>
      <c r="N80" t="n">
        <v>0</v>
      </c>
      <c r="O80" t="n">
        <v>0</v>
      </c>
      <c r="P80" t="n">
        <v>0</v>
      </c>
      <c r="Q80" t="n">
        <v>0</v>
      </c>
      <c r="R80" t="n">
        <v>0</v>
      </c>
      <c r="S80" t="n">
        <v>0</v>
      </c>
      <c r="T80" t="n">
        <v>0</v>
      </c>
      <c r="U80" t="n">
        <v>0</v>
      </c>
      <c r="V80" s="2" t="inlineStr"/>
    </row>
    <row r="81" ht="15" customHeight="1">
      <c r="A81" t="inlineStr">
        <is>
          <t>A 29231-2026</t>
        </is>
      </c>
      <c r="B81" t="inlineStr">
        <is>
          <t>avverkningsanmälan</t>
        </is>
      </c>
      <c r="C81" t="inlineStr">
        <is>
          <t>Föryngringsavverkning</t>
        </is>
      </c>
      <c r="D81" s="1" t="n">
        <v>46202</v>
      </c>
      <c r="E81" s="1" t="n">
        <v>46292</v>
      </c>
      <c r="F81" t="inlineStr">
        <is>
          <t>NORRBOTTENS LÄN</t>
        </is>
      </c>
      <c r="G81" t="inlineStr">
        <is>
          <t>KIRUNA</t>
        </is>
      </c>
      <c r="I81" t="n">
        <v>10.7</v>
      </c>
      <c r="J81" t="n">
        <v>0</v>
      </c>
      <c r="K81" t="n">
        <v>0</v>
      </c>
      <c r="L81" t="n">
        <v>0</v>
      </c>
      <c r="M81" t="n">
        <v>0</v>
      </c>
      <c r="N81" t="n">
        <v>0</v>
      </c>
      <c r="O81" t="n">
        <v>0</v>
      </c>
      <c r="P81" t="n">
        <v>0</v>
      </c>
      <c r="Q81" t="n">
        <v>0</v>
      </c>
      <c r="R81" t="n">
        <v>0</v>
      </c>
      <c r="S81" t="n">
        <v>0</v>
      </c>
      <c r="T81" t="n">
        <v>0</v>
      </c>
      <c r="U81" t="n">
        <v>0</v>
      </c>
      <c r="V81" s="2" t="inlineStr"/>
    </row>
    <row r="82" ht="15" customHeight="1">
      <c r="A82" t="inlineStr">
        <is>
          <t>A 29048-2026</t>
        </is>
      </c>
      <c r="B82" t="inlineStr">
        <is>
          <t>avverkningsanmälan</t>
        </is>
      </c>
      <c r="C82" t="inlineStr">
        <is>
          <t>Föryngringsavverkning</t>
        </is>
      </c>
      <c r="D82" s="1" t="n">
        <v>46199</v>
      </c>
      <c r="E82" s="1" t="n">
        <v>46292</v>
      </c>
      <c r="F82" t="inlineStr">
        <is>
          <t>NORRBOTTENS LÄN</t>
        </is>
      </c>
      <c r="G82" t="inlineStr">
        <is>
          <t>KIRUNA</t>
        </is>
      </c>
      <c r="I82" t="n">
        <v>16.9</v>
      </c>
      <c r="J82" t="n">
        <v>0</v>
      </c>
      <c r="K82" t="n">
        <v>0</v>
      </c>
      <c r="L82" t="n">
        <v>0</v>
      </c>
      <c r="M82" t="n">
        <v>0</v>
      </c>
      <c r="N82" t="n">
        <v>0</v>
      </c>
      <c r="O82" t="n">
        <v>0</v>
      </c>
      <c r="P82" t="n">
        <v>0</v>
      </c>
      <c r="Q82" t="n">
        <v>0</v>
      </c>
      <c r="R82" t="n">
        <v>0</v>
      </c>
      <c r="S82" t="n">
        <v>0</v>
      </c>
      <c r="T82" t="n">
        <v>0</v>
      </c>
      <c r="U82" t="n">
        <v>0</v>
      </c>
      <c r="V82" s="2" t="inlineStr"/>
    </row>
    <row r="83" ht="15" customHeight="1">
      <c r="A83" t="inlineStr">
        <is>
          <t>A 18737-2023</t>
        </is>
      </c>
      <c r="B83" t="inlineStr">
        <is>
          <t>avverkningsanmälan</t>
        </is>
      </c>
      <c r="C83" t="inlineStr">
        <is>
          <t>Avverkning för annat ändamål</t>
        </is>
      </c>
      <c r="D83" s="1" t="n">
        <v>45042</v>
      </c>
      <c r="E83" s="1" t="n">
        <v>46292</v>
      </c>
      <c r="F83" t="inlineStr">
        <is>
          <t>NORRBOTTENS LÄN</t>
        </is>
      </c>
      <c r="G83" t="inlineStr">
        <is>
          <t>KIRUNA</t>
        </is>
      </c>
      <c r="H83" t="inlineStr">
        <is>
          <t>Sveaskog</t>
        </is>
      </c>
      <c r="I83" t="n">
        <v>10.7</v>
      </c>
      <c r="J83" t="n">
        <v>0</v>
      </c>
      <c r="K83" t="n">
        <v>0</v>
      </c>
      <c r="L83" t="n">
        <v>0</v>
      </c>
      <c r="M83" t="n">
        <v>0</v>
      </c>
      <c r="N83" t="n">
        <v>0</v>
      </c>
      <c r="O83" t="n">
        <v>0</v>
      </c>
      <c r="P83" t="n">
        <v>0</v>
      </c>
      <c r="Q83" t="n">
        <v>0</v>
      </c>
      <c r="R83" t="n">
        <v>0</v>
      </c>
      <c r="S83" t="n">
        <v>0</v>
      </c>
      <c r="T83" t="n">
        <v>0</v>
      </c>
      <c r="U83" t="n">
        <v>0</v>
      </c>
      <c r="V83" s="2" t="inlineStr"/>
    </row>
    <row r="84" ht="15" customHeight="1">
      <c r="A84" t="inlineStr">
        <is>
          <t>A 34693-2022</t>
        </is>
      </c>
      <c r="B84" t="inlineStr">
        <is>
          <t>avverkningsanmälan</t>
        </is>
      </c>
      <c r="C84" t="inlineStr">
        <is>
          <t>Föryngringsavverkning</t>
        </is>
      </c>
      <c r="D84" s="1" t="n">
        <v>44795</v>
      </c>
      <c r="E84" s="1" t="n">
        <v>46292</v>
      </c>
      <c r="F84" t="inlineStr">
        <is>
          <t>NORRBOTTENS LÄN</t>
        </is>
      </c>
      <c r="G84" t="inlineStr">
        <is>
          <t>KIRUNA</t>
        </is>
      </c>
      <c r="I84" t="n">
        <v>12.3</v>
      </c>
      <c r="J84" t="n">
        <v>0</v>
      </c>
      <c r="K84" t="n">
        <v>0</v>
      </c>
      <c r="L84" t="n">
        <v>0</v>
      </c>
      <c r="M84" t="n">
        <v>0</v>
      </c>
      <c r="N84" t="n">
        <v>0</v>
      </c>
      <c r="O84" t="n">
        <v>0</v>
      </c>
      <c r="P84" t="n">
        <v>0</v>
      </c>
      <c r="Q84" t="n">
        <v>0</v>
      </c>
      <c r="R84" t="n">
        <v>0</v>
      </c>
      <c r="S84" t="n">
        <v>0</v>
      </c>
      <c r="T84" t="n">
        <v>0</v>
      </c>
      <c r="U84" t="n">
        <v>0</v>
      </c>
      <c r="V84" s="2" t="inlineStr"/>
    </row>
    <row r="85" ht="15" customHeight="1">
      <c r="A85" t="inlineStr">
        <is>
          <t>A 5533-2024</t>
        </is>
      </c>
      <c r="B85" t="inlineStr">
        <is>
          <t>avverkningsanmälan</t>
        </is>
      </c>
      <c r="C85" t="inlineStr">
        <is>
          <t>Avverkning för annat ändamål</t>
        </is>
      </c>
      <c r="D85" s="1" t="n">
        <v>45334</v>
      </c>
      <c r="E85" s="1" t="n">
        <v>46292</v>
      </c>
      <c r="F85" t="inlineStr">
        <is>
          <t>NORRBOTTENS LÄN</t>
        </is>
      </c>
      <c r="G85" t="inlineStr">
        <is>
          <t>KIRUNA</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56168-2023</t>
        </is>
      </c>
      <c r="B86" t="inlineStr">
        <is>
          <t>avverkningsanmälan</t>
        </is>
      </c>
      <c r="C86" t="inlineStr">
        <is>
          <t>Avverkning för annat ändamål</t>
        </is>
      </c>
      <c r="D86" s="1" t="n">
        <v>45236</v>
      </c>
      <c r="E86" s="1" t="n">
        <v>46292</v>
      </c>
      <c r="F86" t="inlineStr">
        <is>
          <t>NORRBOTTENS LÄN</t>
        </is>
      </c>
      <c r="G86" t="inlineStr">
        <is>
          <t>KIRUNA</t>
        </is>
      </c>
      <c r="H86" t="inlineStr">
        <is>
          <t>Sveaskog</t>
        </is>
      </c>
      <c r="I86" t="n">
        <v>6.6</v>
      </c>
      <c r="J86" t="n">
        <v>0</v>
      </c>
      <c r="K86" t="n">
        <v>0</v>
      </c>
      <c r="L86" t="n">
        <v>0</v>
      </c>
      <c r="M86" t="n">
        <v>0</v>
      </c>
      <c r="N86" t="n">
        <v>0</v>
      </c>
      <c r="O86" t="n">
        <v>0</v>
      </c>
      <c r="P86" t="n">
        <v>0</v>
      </c>
      <c r="Q86" t="n">
        <v>0</v>
      </c>
      <c r="R86" t="n">
        <v>0</v>
      </c>
      <c r="S86" t="n">
        <v>0</v>
      </c>
      <c r="T86" t="n">
        <v>0</v>
      </c>
      <c r="U86" t="n">
        <v>0</v>
      </c>
      <c r="V86" s="2" t="inlineStr"/>
    </row>
    <row r="87" ht="15" customHeight="1">
      <c r="A87" t="inlineStr">
        <is>
          <t>A 8350-2025</t>
        </is>
      </c>
      <c r="B87" t="inlineStr">
        <is>
          <t>avverkningsanmälan</t>
        </is>
      </c>
      <c r="C87" t="inlineStr">
        <is>
          <t>Avverkning för annat ändamål</t>
        </is>
      </c>
      <c r="D87" s="1" t="n">
        <v>45708</v>
      </c>
      <c r="E87" s="1" t="n">
        <v>46292</v>
      </c>
      <c r="F87" t="inlineStr">
        <is>
          <t>NORRBOTTENS LÄN</t>
        </is>
      </c>
      <c r="G87" t="inlineStr">
        <is>
          <t>KIRUNA</t>
        </is>
      </c>
      <c r="H87" t="inlineStr">
        <is>
          <t>Övriga statliga verk och myndigheter</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41127-2023</t>
        </is>
      </c>
      <c r="B88" t="inlineStr">
        <is>
          <t>avverkningsanmälan</t>
        </is>
      </c>
      <c r="C88" t="inlineStr">
        <is>
          <t>Avverkning för annat ändamål</t>
        </is>
      </c>
      <c r="D88" s="1" t="n">
        <v>45173</v>
      </c>
      <c r="E88" s="1" t="n">
        <v>46292</v>
      </c>
      <c r="F88" t="inlineStr">
        <is>
          <t>NORRBOTTENS LÄN</t>
        </is>
      </c>
      <c r="G88" t="inlineStr">
        <is>
          <t>KIRUNA</t>
        </is>
      </c>
      <c r="H88" t="inlineStr">
        <is>
          <t>SCA</t>
        </is>
      </c>
      <c r="I88" t="n">
        <v>1.3</v>
      </c>
      <c r="J88" t="n">
        <v>0</v>
      </c>
      <c r="K88" t="n">
        <v>0</v>
      </c>
      <c r="L88" t="n">
        <v>0</v>
      </c>
      <c r="M88" t="n">
        <v>0</v>
      </c>
      <c r="N88" t="n">
        <v>0</v>
      </c>
      <c r="O88" t="n">
        <v>0</v>
      </c>
      <c r="P88" t="n">
        <v>0</v>
      </c>
      <c r="Q88" t="n">
        <v>0</v>
      </c>
      <c r="R88" t="n">
        <v>0</v>
      </c>
      <c r="S88" t="n">
        <v>0</v>
      </c>
      <c r="T88" t="n">
        <v>0</v>
      </c>
      <c r="U88" t="n">
        <v>0</v>
      </c>
      <c r="V88" s="2" t="inlineStr"/>
    </row>
    <row r="89">
      <c r="A89" t="inlineStr">
        <is>
          <t>S 637-2025</t>
        </is>
      </c>
      <c r="B89" t="inlineStr">
        <is>
          <t>samrådsanmälan</t>
        </is>
      </c>
      <c r="C89" t="inlineStr">
        <is>
          <t>Annan skogsbruksåtgärd</t>
        </is>
      </c>
      <c r="D89" s="1" t="n">
        <v>45714</v>
      </c>
      <c r="E89" s="1" t="n">
        <v>46292</v>
      </c>
      <c r="F89" t="inlineStr">
        <is>
          <t>NORRBOTTENS LÄN</t>
        </is>
      </c>
      <c r="G89" t="inlineStr">
        <is>
          <t>KIRUNA</t>
        </is>
      </c>
      <c r="I89" t="n">
        <v>49.3</v>
      </c>
      <c r="J89" t="n">
        <v>0</v>
      </c>
      <c r="K89" t="n">
        <v>0</v>
      </c>
      <c r="L89" t="n">
        <v>0</v>
      </c>
      <c r="M89" t="n">
        <v>0</v>
      </c>
      <c r="N89" t="n">
        <v>0</v>
      </c>
      <c r="O89" t="n">
        <v>0</v>
      </c>
      <c r="P89" t="n">
        <v>0</v>
      </c>
      <c r="Q89" t="n">
        <v>0</v>
      </c>
      <c r="R89" t="n">
        <v>0</v>
      </c>
      <c r="S89" t="n">
        <v>0</v>
      </c>
      <c r="T89" t="n">
        <v>0</v>
      </c>
      <c r="U89" t="n">
        <v>0</v>
      </c>
      <c r="V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2026-09-27T02:02:40Z</dcterms:created>
  <dcterms:modified xmlns:dcterms="http://purl.org/dc/terms/" xmlns:xsi="http://www.w3.org/2001/XMLSchema-instance" xsi:type="dcterms:W3CDTF">2026-09-27T02:02:40Z</dcterms:modified>
</cp:coreProperties>
</file>