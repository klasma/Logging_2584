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45344</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45344</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38281-2020</t>
        </is>
      </c>
      <c r="B4" s="1" t="n">
        <v>44060</v>
      </c>
      <c r="C4" s="1" t="n">
        <v>45344</v>
      </c>
      <c r="D4" t="inlineStr">
        <is>
          <t>NORRBOTTENS LÄN</t>
        </is>
      </c>
      <c r="E4" t="inlineStr">
        <is>
          <t>KIRUNA</t>
        </is>
      </c>
      <c r="F4" t="inlineStr">
        <is>
          <t>Allmännings- och besparingsskogar</t>
        </is>
      </c>
      <c r="G4" t="n">
        <v>20</v>
      </c>
      <c r="H4" t="n">
        <v>2</v>
      </c>
      <c r="I4" t="n">
        <v>5</v>
      </c>
      <c r="J4" t="n">
        <v>7</v>
      </c>
      <c r="K4" t="n">
        <v>1</v>
      </c>
      <c r="L4" t="n">
        <v>0</v>
      </c>
      <c r="M4" t="n">
        <v>0</v>
      </c>
      <c r="N4" t="n">
        <v>0</v>
      </c>
      <c r="O4" t="n">
        <v>8</v>
      </c>
      <c r="P4" t="n">
        <v>1</v>
      </c>
      <c r="Q4" t="n">
        <v>14</v>
      </c>
      <c r="R4" s="2" t="inlineStr">
        <is>
          <t>Fläckporing
Blå taggsvamp
Granticka
Nordtagging
Orange taggsvamp
Rosenticka
Violmussling
Vitplätt
Blodticka
Dropptaggsvamp
Plattlummer
Skarp dropptaggsvamp
Vedticka
Tjäder</t>
        </is>
      </c>
      <c r="S4">
        <f>HYPERLINK("https://klasma.github.io/Logging_2584/artfynd/A 38281-2020 artfynd.xlsx", "A 38281-2020")</f>
        <v/>
      </c>
      <c r="T4">
        <f>HYPERLINK("https://klasma.github.io/Logging_2584/kartor/A 38281-2020 karta.png", "A 38281-2020")</f>
        <v/>
      </c>
      <c r="V4">
        <f>HYPERLINK("https://klasma.github.io/Logging_2584/klagomål/A 38281-2020 FSC-klagomål.docx", "A 38281-2020")</f>
        <v/>
      </c>
      <c r="W4">
        <f>HYPERLINK("https://klasma.github.io/Logging_2584/klagomålsmail/A 38281-2020 FSC-klagomål mail.docx", "A 38281-2020")</f>
        <v/>
      </c>
      <c r="X4">
        <f>HYPERLINK("https://klasma.github.io/Logging_2584/tillsyn/A 38281-2020 tillsynsbegäran.docx", "A 38281-2020")</f>
        <v/>
      </c>
      <c r="Y4">
        <f>HYPERLINK("https://klasma.github.io/Logging_2584/tillsynsmail/A 38281-2020 tillsynsbegäran mail.docx", "A 38281-2020")</f>
        <v/>
      </c>
      <c r="Z4">
        <f>HYPERLINK("https://klasma.github.io/Logging_2584/fåglar/A 38281-2020 prioriterade fågelarter.docx", "A 38281-2020")</f>
        <v/>
      </c>
    </row>
    <row r="5" ht="15" customHeight="1">
      <c r="A5" t="inlineStr">
        <is>
          <t>A 42505-2020</t>
        </is>
      </c>
      <c r="B5" s="1" t="n">
        <v>44074</v>
      </c>
      <c r="C5" s="1" t="n">
        <v>45344</v>
      </c>
      <c r="D5" t="inlineStr">
        <is>
          <t>NORRBOTTENS LÄN</t>
        </is>
      </c>
      <c r="E5" t="inlineStr">
        <is>
          <t>KIRUNA</t>
        </is>
      </c>
      <c r="F5" t="inlineStr">
        <is>
          <t>Sveaskog</t>
        </is>
      </c>
      <c r="G5" t="n">
        <v>30.4</v>
      </c>
      <c r="H5" t="n">
        <v>0</v>
      </c>
      <c r="I5" t="n">
        <v>2</v>
      </c>
      <c r="J5" t="n">
        <v>8</v>
      </c>
      <c r="K5" t="n">
        <v>3</v>
      </c>
      <c r="L5" t="n">
        <v>0</v>
      </c>
      <c r="M5" t="n">
        <v>0</v>
      </c>
      <c r="N5" t="n">
        <v>0</v>
      </c>
      <c r="O5" t="n">
        <v>11</v>
      </c>
      <c r="P5" t="n">
        <v>3</v>
      </c>
      <c r="Q5" t="n">
        <v>13</v>
      </c>
      <c r="R5" s="2" t="inlineStr">
        <is>
          <t>Kristallticka
Lappticka
Rynkskinn
Garnlav
Granticka
Gränsticka
Harticka
Knottrig blåslav
Rosenticka
Stjärntagging
Ullticka
Blodticka
Vedticka</t>
        </is>
      </c>
      <c r="S5">
        <f>HYPERLINK("https://klasma.github.io/Logging_2584/artfynd/A 42505-2020 artfynd.xlsx", "A 42505-2020")</f>
        <v/>
      </c>
      <c r="T5">
        <f>HYPERLINK("https://klasma.github.io/Logging_2584/kartor/A 42505-2020 karta.png", "A 42505-2020")</f>
        <v/>
      </c>
      <c r="V5">
        <f>HYPERLINK("https://klasma.github.io/Logging_2584/klagomål/A 42505-2020 FSC-klagomål.docx", "A 42505-2020")</f>
        <v/>
      </c>
      <c r="W5">
        <f>HYPERLINK("https://klasma.github.io/Logging_2584/klagomålsmail/A 42505-2020 FSC-klagomål mail.docx", "A 42505-2020")</f>
        <v/>
      </c>
      <c r="X5">
        <f>HYPERLINK("https://klasma.github.io/Logging_2584/tillsyn/A 42505-2020 tillsynsbegäran.docx", "A 42505-2020")</f>
        <v/>
      </c>
      <c r="Y5">
        <f>HYPERLINK("https://klasma.github.io/Logging_2584/tillsynsmail/A 42505-2020 tillsynsbegäran mail.docx", "A 42505-2020")</f>
        <v/>
      </c>
    </row>
    <row r="6" ht="15" customHeight="1">
      <c r="A6" t="inlineStr">
        <is>
          <t>A 61481-2023</t>
        </is>
      </c>
      <c r="B6" s="1" t="n">
        <v>45264</v>
      </c>
      <c r="C6" s="1" t="n">
        <v>45344</v>
      </c>
      <c r="D6" t="inlineStr">
        <is>
          <t>NORRBOTTENS LÄN</t>
        </is>
      </c>
      <c r="E6" t="inlineStr">
        <is>
          <t>KIRUNA</t>
        </is>
      </c>
      <c r="G6" t="n">
        <v>86.3</v>
      </c>
      <c r="H6" t="n">
        <v>1</v>
      </c>
      <c r="I6" t="n">
        <v>2</v>
      </c>
      <c r="J6" t="n">
        <v>7</v>
      </c>
      <c r="K6" t="n">
        <v>4</v>
      </c>
      <c r="L6" t="n">
        <v>0</v>
      </c>
      <c r="M6" t="n">
        <v>0</v>
      </c>
      <c r="N6" t="n">
        <v>0</v>
      </c>
      <c r="O6" t="n">
        <v>11</v>
      </c>
      <c r="P6" t="n">
        <v>4</v>
      </c>
      <c r="Q6" t="n">
        <v>13</v>
      </c>
      <c r="R6" s="2" t="inlineStr">
        <is>
          <t>Grantickeporing
Lappticka
Ostticka
Ulltickeporing
Garnlav
Granticka
Harticka
Knottrig blåslav
Rosenticka
Tretåig hackspett
Ullticka
Blodticka
Vedticka</t>
        </is>
      </c>
      <c r="S6">
        <f>HYPERLINK("https://klasma.github.io/Logging_2584/artfynd/A 61481-2023 artfynd.xlsx", "A 61481-2023")</f>
        <v/>
      </c>
      <c r="T6">
        <f>HYPERLINK("https://klasma.github.io/Logging_2584/kartor/A 61481-2023 karta.png", "A 61481-2023")</f>
        <v/>
      </c>
      <c r="V6">
        <f>HYPERLINK("https://klasma.github.io/Logging_2584/klagomål/A 61481-2023 FSC-klagomål.docx", "A 61481-2023")</f>
        <v/>
      </c>
      <c r="W6">
        <f>HYPERLINK("https://klasma.github.io/Logging_2584/klagomålsmail/A 61481-2023 FSC-klagomål mail.docx", "A 61481-2023")</f>
        <v/>
      </c>
      <c r="X6">
        <f>HYPERLINK("https://klasma.github.io/Logging_2584/tillsyn/A 61481-2023 tillsynsbegäran.docx", "A 61481-2023")</f>
        <v/>
      </c>
      <c r="Y6">
        <f>HYPERLINK("https://klasma.github.io/Logging_2584/tillsynsmail/A 61481-2023 tillsynsbegäran mail.docx", "A 61481-2023")</f>
        <v/>
      </c>
      <c r="Z6">
        <f>HYPERLINK("https://klasma.github.io/Logging_2584/fåglar/A 61481-2023 prioriterade fågelarter.docx", "A 61481-2023")</f>
        <v/>
      </c>
    </row>
    <row r="7" ht="15" customHeight="1">
      <c r="A7" t="inlineStr">
        <is>
          <t>A 38722-2020</t>
        </is>
      </c>
      <c r="B7" s="1" t="n">
        <v>44061</v>
      </c>
      <c r="C7" s="1" t="n">
        <v>45344</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45344</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45344</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45344</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45344</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45344</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45344</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45344</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45344</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45344</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45344</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45344</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45344</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45344</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45344</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45344</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45344</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45344</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45344</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45344</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45344</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45344</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45344</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45344</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45344</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45344</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45344</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45344</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45344</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45344</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45344</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45344</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45344</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45344</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45344</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45344</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45344</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45344</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45344</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45344</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45344</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45344</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45344</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45344</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45344</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45344</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45344</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45344</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45344</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45344</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45344</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45344</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45344</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45344</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45344</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45344</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45344</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45344</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45344</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45344</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45344</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45344</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45344</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45344</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45344</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45344</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45344</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45344</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45344</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45344</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45344</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45344</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45344</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45344</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45344</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45344</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45344</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45344</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45344</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45344</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45344</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45344</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45344</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45344</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45344</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45344</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45344</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45344</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45344</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45344</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45344</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45344</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45344</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45344</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45344</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45344</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45344</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45344</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45344</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45344</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45344</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45344</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45344</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45344</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45344</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45344</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45344</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45344</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2024-02-22T06:54:38Z</dcterms:created>
  <dcterms:modified xmlns:dcterms="http://purl.org/dc/terms/" xmlns:xsi="http://www.w3.org/2001/XMLSchema-instance" xsi:type="dcterms:W3CDTF">2024-02-22T06:54:39Z</dcterms:modified>
</cp:coreProperties>
</file>