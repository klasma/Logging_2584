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46198</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46198</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46198</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46198</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46198</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46198</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46198</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22495-2024</t>
        </is>
      </c>
      <c r="B9" s="1" t="n">
        <v>45447</v>
      </c>
      <c r="C9" s="1" t="n">
        <v>46198</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46198</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64829-2023</t>
        </is>
      </c>
      <c r="B11" s="1" t="n">
        <v>45281</v>
      </c>
      <c r="C11" s="1" t="n">
        <v>46198</v>
      </c>
      <c r="D11" t="inlineStr">
        <is>
          <t>NORRBOTTENS LÄN</t>
        </is>
      </c>
      <c r="E11" t="inlineStr">
        <is>
          <t>KIRUNA</t>
        </is>
      </c>
      <c r="G11" t="n">
        <v>31.7</v>
      </c>
      <c r="H11" t="n">
        <v>2</v>
      </c>
      <c r="I11" t="n">
        <v>0</v>
      </c>
      <c r="J11" t="n">
        <v>2</v>
      </c>
      <c r="K11" t="n">
        <v>0</v>
      </c>
      <c r="L11" t="n">
        <v>0</v>
      </c>
      <c r="M11" t="n">
        <v>0</v>
      </c>
      <c r="N11" t="n">
        <v>0</v>
      </c>
      <c r="O11" t="n">
        <v>2</v>
      </c>
      <c r="P11" t="n">
        <v>0</v>
      </c>
      <c r="Q11" t="n">
        <v>3</v>
      </c>
      <c r="R11" s="2" t="inlineStr">
        <is>
          <t>Höstlåsbräken
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20780-2025</t>
        </is>
      </c>
      <c r="B12" s="1" t="n">
        <v>45776</v>
      </c>
      <c r="C12" s="1" t="n">
        <v>46198</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58860-2022</t>
        </is>
      </c>
      <c r="B13" s="1" t="n">
        <v>44896</v>
      </c>
      <c r="C13" s="1" t="n">
        <v>46198</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46198</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46198</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46198</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46198</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4367-2024</t>
        </is>
      </c>
      <c r="B18" s="1" t="n">
        <v>45326</v>
      </c>
      <c r="C18" s="1" t="n">
        <v>46198</v>
      </c>
      <c r="D18" t="inlineStr">
        <is>
          <t>NORRBOTTENS LÄN</t>
        </is>
      </c>
      <c r="E18" t="inlineStr">
        <is>
          <t>KIRUNA</t>
        </is>
      </c>
      <c r="G18" t="n">
        <v>7.5</v>
      </c>
      <c r="H18" t="n">
        <v>0</v>
      </c>
      <c r="I18" t="n">
        <v>0</v>
      </c>
      <c r="J18" t="n">
        <v>1</v>
      </c>
      <c r="K18" t="n">
        <v>0</v>
      </c>
      <c r="L18" t="n">
        <v>0</v>
      </c>
      <c r="M18" t="n">
        <v>0</v>
      </c>
      <c r="N18" t="n">
        <v>0</v>
      </c>
      <c r="O18" t="n">
        <v>1</v>
      </c>
      <c r="P18" t="n">
        <v>0</v>
      </c>
      <c r="Q18" t="n">
        <v>1</v>
      </c>
      <c r="R18" s="2" t="inlineStr">
        <is>
          <t>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16024-2024</t>
        </is>
      </c>
      <c r="B19" s="1" t="n">
        <v>45405</v>
      </c>
      <c r="C19" s="1" t="n">
        <v>46198</v>
      </c>
      <c r="D19" t="inlineStr">
        <is>
          <t>NORRBOTTENS LÄN</t>
        </is>
      </c>
      <c r="E19" t="inlineStr">
        <is>
          <t>KIRUNA</t>
        </is>
      </c>
      <c r="G19" t="n">
        <v>2.3</v>
      </c>
      <c r="H19" t="n">
        <v>0</v>
      </c>
      <c r="I19" t="n">
        <v>0</v>
      </c>
      <c r="J19" t="n">
        <v>1</v>
      </c>
      <c r="K19" t="n">
        <v>0</v>
      </c>
      <c r="L19" t="n">
        <v>0</v>
      </c>
      <c r="M19" t="n">
        <v>0</v>
      </c>
      <c r="N19" t="n">
        <v>0</v>
      </c>
      <c r="O19" t="n">
        <v>1</v>
      </c>
      <c r="P19" t="n">
        <v>0</v>
      </c>
      <c r="Q19" t="n">
        <v>1</v>
      </c>
      <c r="R19" s="2" t="inlineStr">
        <is>
          <t>Vedskivlav</t>
        </is>
      </c>
      <c r="S19">
        <f>HYPERLINK("https://klasma.github.io/Logging_2584/artfynd/A 16024-2024 artfynd.xlsx", "A 16024-2024")</f>
        <v/>
      </c>
      <c r="T19">
        <f>HYPERLINK("https://klasma.github.io/Logging_2584/kartor/A 16024-2024 karta.png", "A 16024-2024")</f>
        <v/>
      </c>
      <c r="V19">
        <f>HYPERLINK("https://klasma.github.io/Logging_2584/klagomål/A 16024-2024 FSC-klagomål.docx", "A 16024-2024")</f>
        <v/>
      </c>
      <c r="W19">
        <f>HYPERLINK("https://klasma.github.io/Logging_2584/klagomålsmail/A 16024-2024 FSC-klagomål mail.docx", "A 16024-2024")</f>
        <v/>
      </c>
      <c r="X19">
        <f>HYPERLINK("https://klasma.github.io/Logging_2584/tillsyn/A 16024-2024 tillsynsbegäran.docx", "A 16024-2024")</f>
        <v/>
      </c>
      <c r="Y19">
        <f>HYPERLINK("https://klasma.github.io/Logging_2584/tillsynsmail/A 16024-2024 tillsynsbegäran mail.docx", "A 16024-2024")</f>
        <v/>
      </c>
    </row>
    <row r="20" ht="15" customHeight="1">
      <c r="A20" t="inlineStr">
        <is>
          <t>A 2660-2026</t>
        </is>
      </c>
      <c r="B20" s="1" t="n">
        <v>46037</v>
      </c>
      <c r="C20" s="1" t="n">
        <v>46198</v>
      </c>
      <c r="D20" t="inlineStr">
        <is>
          <t>NORRBOTTENS LÄN</t>
        </is>
      </c>
      <c r="E20" t="inlineStr">
        <is>
          <t>KIRUNA</t>
        </is>
      </c>
      <c r="G20" t="n">
        <v>1.1</v>
      </c>
      <c r="H20" t="n">
        <v>0</v>
      </c>
      <c r="I20" t="n">
        <v>0</v>
      </c>
      <c r="J20" t="n">
        <v>1</v>
      </c>
      <c r="K20" t="n">
        <v>0</v>
      </c>
      <c r="L20" t="n">
        <v>0</v>
      </c>
      <c r="M20" t="n">
        <v>0</v>
      </c>
      <c r="N20" t="n">
        <v>0</v>
      </c>
      <c r="O20" t="n">
        <v>1</v>
      </c>
      <c r="P20" t="n">
        <v>0</v>
      </c>
      <c r="Q20" t="n">
        <v>1</v>
      </c>
      <c r="R20" s="2" t="inlineStr">
        <is>
          <t>Vaddporing</t>
        </is>
      </c>
      <c r="S20">
        <f>HYPERLINK("https://klasma.github.io/Logging_2584/artfynd/A 2660-2026 artfynd.xlsx", "A 2660-2026")</f>
        <v/>
      </c>
      <c r="T20">
        <f>HYPERLINK("https://klasma.github.io/Logging_2584/kartor/A 2660-2026 karta.png", "A 2660-2026")</f>
        <v/>
      </c>
      <c r="V20">
        <f>HYPERLINK("https://klasma.github.io/Logging_2584/klagomål/A 2660-2026 FSC-klagomål.docx", "A 2660-2026")</f>
        <v/>
      </c>
      <c r="W20">
        <f>HYPERLINK("https://klasma.github.io/Logging_2584/klagomålsmail/A 2660-2026 FSC-klagomål mail.docx", "A 2660-2026")</f>
        <v/>
      </c>
      <c r="X20">
        <f>HYPERLINK("https://klasma.github.io/Logging_2584/tillsyn/A 2660-2026 tillsynsbegäran.docx", "A 2660-2026")</f>
        <v/>
      </c>
      <c r="Y20">
        <f>HYPERLINK("https://klasma.github.io/Logging_2584/tillsynsmail/A 2660-2026 tillsynsbegäran mail.docx", "A 2660-2026")</f>
        <v/>
      </c>
    </row>
    <row r="21" ht="15" customHeight="1">
      <c r="A21" t="inlineStr">
        <is>
          <t>A 5842-2023</t>
        </is>
      </c>
      <c r="B21" s="1" t="n">
        <v>44958</v>
      </c>
      <c r="C21" s="1" t="n">
        <v>46198</v>
      </c>
      <c r="D21" t="inlineStr">
        <is>
          <t>NORRBOTTENS LÄN</t>
        </is>
      </c>
      <c r="E21" t="inlineStr">
        <is>
          <t>KIRUNA</t>
        </is>
      </c>
      <c r="G21" t="n">
        <v>2.9</v>
      </c>
      <c r="H21" t="n">
        <v>0</v>
      </c>
      <c r="I21" t="n">
        <v>0</v>
      </c>
      <c r="J21" t="n">
        <v>0</v>
      </c>
      <c r="K21" t="n">
        <v>1</v>
      </c>
      <c r="L21" t="n">
        <v>0</v>
      </c>
      <c r="M21" t="n">
        <v>0</v>
      </c>
      <c r="N21" t="n">
        <v>0</v>
      </c>
      <c r="O21" t="n">
        <v>1</v>
      </c>
      <c r="P21" t="n">
        <v>1</v>
      </c>
      <c r="Q21" t="n">
        <v>1</v>
      </c>
      <c r="R21" s="2" t="inlineStr">
        <is>
          <t>Fjällsotlav</t>
        </is>
      </c>
      <c r="S21">
        <f>HYPERLINK("https://klasma.github.io/Logging_2584/artfynd/A 5842-2023 artfynd.xlsx", "A 5842-2023")</f>
        <v/>
      </c>
      <c r="T21">
        <f>HYPERLINK("https://klasma.github.io/Logging_2584/kartor/A 5842-2023 karta.png", "A 5842-2023")</f>
        <v/>
      </c>
      <c r="V21">
        <f>HYPERLINK("https://klasma.github.io/Logging_2584/klagomål/A 5842-2023 FSC-klagomål.docx", "A 5842-2023")</f>
        <v/>
      </c>
      <c r="W21">
        <f>HYPERLINK("https://klasma.github.io/Logging_2584/klagomålsmail/A 5842-2023 FSC-klagomål mail.docx", "A 5842-2023")</f>
        <v/>
      </c>
      <c r="X21">
        <f>HYPERLINK("https://klasma.github.io/Logging_2584/tillsyn/A 5842-2023 tillsynsbegäran.docx", "A 5842-2023")</f>
        <v/>
      </c>
      <c r="Y21">
        <f>HYPERLINK("https://klasma.github.io/Logging_2584/tillsynsmail/A 5842-2023 tillsynsbegäran mail.docx", "A 5842-2023")</f>
        <v/>
      </c>
    </row>
    <row r="22" ht="15" customHeight="1">
      <c r="A22" t="inlineStr">
        <is>
          <t>A 61066-2024</t>
        </is>
      </c>
      <c r="B22" s="1" t="n">
        <v>45645</v>
      </c>
      <c r="C22" s="1" t="n">
        <v>46198</v>
      </c>
      <c r="D22" t="inlineStr">
        <is>
          <t>NORRBOTTENS LÄN</t>
        </is>
      </c>
      <c r="E22" t="inlineStr">
        <is>
          <t>KIRUNA</t>
        </is>
      </c>
      <c r="G22" t="n">
        <v>4.5</v>
      </c>
      <c r="H22" t="n">
        <v>1</v>
      </c>
      <c r="I22" t="n">
        <v>0</v>
      </c>
      <c r="J22" t="n">
        <v>0</v>
      </c>
      <c r="K22" t="n">
        <v>0</v>
      </c>
      <c r="L22" t="n">
        <v>0</v>
      </c>
      <c r="M22" t="n">
        <v>0</v>
      </c>
      <c r="N22" t="n">
        <v>0</v>
      </c>
      <c r="O22" t="n">
        <v>0</v>
      </c>
      <c r="P22" t="n">
        <v>0</v>
      </c>
      <c r="Q22" t="n">
        <v>1</v>
      </c>
      <c r="R22" s="2" t="inlineStr">
        <is>
          <t>Tjäder</t>
        </is>
      </c>
      <c r="S22">
        <f>HYPERLINK("https://klasma.github.io/Logging_2584/artfynd/A 61066-2024 artfynd.xlsx", "A 61066-2024")</f>
        <v/>
      </c>
      <c r="T22">
        <f>HYPERLINK("https://klasma.github.io/Logging_2584/kartor/A 61066-2024 karta.png", "A 61066-2024")</f>
        <v/>
      </c>
      <c r="V22">
        <f>HYPERLINK("https://klasma.github.io/Logging_2584/klagomål/A 61066-2024 FSC-klagomål.docx", "A 61066-2024")</f>
        <v/>
      </c>
      <c r="W22">
        <f>HYPERLINK("https://klasma.github.io/Logging_2584/klagomålsmail/A 61066-2024 FSC-klagomål mail.docx", "A 61066-2024")</f>
        <v/>
      </c>
      <c r="X22">
        <f>HYPERLINK("https://klasma.github.io/Logging_2584/tillsyn/A 61066-2024 tillsynsbegäran.docx", "A 61066-2024")</f>
        <v/>
      </c>
      <c r="Y22">
        <f>HYPERLINK("https://klasma.github.io/Logging_2584/tillsynsmail/A 61066-2024 tillsynsbegäran mail.docx", "A 61066-2024")</f>
        <v/>
      </c>
      <c r="Z22">
        <f>HYPERLINK("https://klasma.github.io/Logging_2584/fåglar/A 61066-2024 prioriterade fågelarter.docx", "A 61066-2024")</f>
        <v/>
      </c>
    </row>
    <row r="23" ht="15" customHeight="1">
      <c r="A23" t="inlineStr">
        <is>
          <t>A 60064-2023</t>
        </is>
      </c>
      <c r="B23" s="1" t="n">
        <v>45258</v>
      </c>
      <c r="C23" s="1" t="n">
        <v>46198</v>
      </c>
      <c r="D23" t="inlineStr">
        <is>
          <t>NORRBOTTENS LÄN</t>
        </is>
      </c>
      <c r="E23" t="inlineStr">
        <is>
          <t>KIRUNA</t>
        </is>
      </c>
      <c r="G23" t="n">
        <v>19.8</v>
      </c>
      <c r="H23" t="n">
        <v>1</v>
      </c>
      <c r="I23" t="n">
        <v>0</v>
      </c>
      <c r="J23" t="n">
        <v>0</v>
      </c>
      <c r="K23" t="n">
        <v>0</v>
      </c>
      <c r="L23" t="n">
        <v>0</v>
      </c>
      <c r="M23" t="n">
        <v>0</v>
      </c>
      <c r="N23" t="n">
        <v>0</v>
      </c>
      <c r="O23" t="n">
        <v>0</v>
      </c>
      <c r="P23" t="n">
        <v>0</v>
      </c>
      <c r="Q23" t="n">
        <v>1</v>
      </c>
      <c r="R23" s="2" t="inlineStr">
        <is>
          <t>Tjäder</t>
        </is>
      </c>
      <c r="S23">
        <f>HYPERLINK("https://klasma.github.io/Logging_2584/artfynd/A 60064-2023 artfynd.xlsx", "A 60064-2023")</f>
        <v/>
      </c>
      <c r="T23">
        <f>HYPERLINK("https://klasma.github.io/Logging_2584/kartor/A 60064-2023 karta.png", "A 60064-2023")</f>
        <v/>
      </c>
      <c r="V23">
        <f>HYPERLINK("https://klasma.github.io/Logging_2584/klagomål/A 60064-2023 FSC-klagomål.docx", "A 60064-2023")</f>
        <v/>
      </c>
      <c r="W23">
        <f>HYPERLINK("https://klasma.github.io/Logging_2584/klagomålsmail/A 60064-2023 FSC-klagomål mail.docx", "A 60064-2023")</f>
        <v/>
      </c>
      <c r="X23">
        <f>HYPERLINK("https://klasma.github.io/Logging_2584/tillsyn/A 60064-2023 tillsynsbegäran.docx", "A 60064-2023")</f>
        <v/>
      </c>
      <c r="Y23">
        <f>HYPERLINK("https://klasma.github.io/Logging_2584/tillsynsmail/A 60064-2023 tillsynsbegäran mail.docx", "A 60064-2023")</f>
        <v/>
      </c>
      <c r="Z23">
        <f>HYPERLINK("https://klasma.github.io/Logging_2584/fåglar/A 60064-2023 prioriterade fågelarter.docx", "A 60064-2023")</f>
        <v/>
      </c>
    </row>
    <row r="24" ht="15" customHeight="1">
      <c r="A24" t="inlineStr">
        <is>
          <t>A 32819-2021</t>
        </is>
      </c>
      <c r="B24" s="1" t="n">
        <v>44375</v>
      </c>
      <c r="C24" s="1" t="n">
        <v>46198</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46198</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46198</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46198</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46198</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46198</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46198</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46198</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46198</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46198</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46198</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46198</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46198</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46198</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v>
      </c>
      <c r="C38" s="1" t="n">
        <v>46198</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46198</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28707-2022</t>
        </is>
      </c>
      <c r="B40" s="1" t="n">
        <v>44748</v>
      </c>
      <c r="C40" s="1" t="n">
        <v>46198</v>
      </c>
      <c r="D40" t="inlineStr">
        <is>
          <t>NORRBOTTENS LÄN</t>
        </is>
      </c>
      <c r="E40" t="inlineStr">
        <is>
          <t>KIRUNA</t>
        </is>
      </c>
      <c r="G40" t="n">
        <v>15.2</v>
      </c>
      <c r="H40" t="n">
        <v>0</v>
      </c>
      <c r="I40" t="n">
        <v>0</v>
      </c>
      <c r="J40" t="n">
        <v>0</v>
      </c>
      <c r="K40" t="n">
        <v>0</v>
      </c>
      <c r="L40" t="n">
        <v>0</v>
      </c>
      <c r="M40" t="n">
        <v>0</v>
      </c>
      <c r="N40" t="n">
        <v>0</v>
      </c>
      <c r="O40" t="n">
        <v>0</v>
      </c>
      <c r="P40" t="n">
        <v>0</v>
      </c>
      <c r="Q40" t="n">
        <v>0</v>
      </c>
      <c r="R40" s="2" t="inlineStr"/>
    </row>
    <row r="41" ht="15" customHeight="1">
      <c r="A41" t="inlineStr">
        <is>
          <t>A 9068-2023</t>
        </is>
      </c>
      <c r="B41" s="1" t="n">
        <v>44979</v>
      </c>
      <c r="C41" s="1" t="n">
        <v>46198</v>
      </c>
      <c r="D41" t="inlineStr">
        <is>
          <t>NORRBOTTENS LÄN</t>
        </is>
      </c>
      <c r="E41" t="inlineStr">
        <is>
          <t>KIRUNA</t>
        </is>
      </c>
      <c r="F41" t="inlineStr">
        <is>
          <t>SCA</t>
        </is>
      </c>
      <c r="G41" t="n">
        <v>4.6</v>
      </c>
      <c r="H41" t="n">
        <v>0</v>
      </c>
      <c r="I41" t="n">
        <v>0</v>
      </c>
      <c r="J41" t="n">
        <v>0</v>
      </c>
      <c r="K41" t="n">
        <v>0</v>
      </c>
      <c r="L41" t="n">
        <v>0</v>
      </c>
      <c r="M41" t="n">
        <v>0</v>
      </c>
      <c r="N41" t="n">
        <v>0</v>
      </c>
      <c r="O41" t="n">
        <v>0</v>
      </c>
      <c r="P41" t="n">
        <v>0</v>
      </c>
      <c r="Q41" t="n">
        <v>0</v>
      </c>
      <c r="R41" s="2" t="inlineStr"/>
    </row>
    <row r="42" ht="15" customHeight="1">
      <c r="A42" t="inlineStr">
        <is>
          <t>A 93-2024</t>
        </is>
      </c>
      <c r="B42" s="1" t="n">
        <v>45293</v>
      </c>
      <c r="C42" s="1" t="n">
        <v>46198</v>
      </c>
      <c r="D42" t="inlineStr">
        <is>
          <t>NORRBOTTENS LÄN</t>
        </is>
      </c>
      <c r="E42" t="inlineStr">
        <is>
          <t>KIRUNA</t>
        </is>
      </c>
      <c r="G42" t="n">
        <v>0.8</v>
      </c>
      <c r="H42" t="n">
        <v>0</v>
      </c>
      <c r="I42" t="n">
        <v>0</v>
      </c>
      <c r="J42" t="n">
        <v>0</v>
      </c>
      <c r="K42" t="n">
        <v>0</v>
      </c>
      <c r="L42" t="n">
        <v>0</v>
      </c>
      <c r="M42" t="n">
        <v>0</v>
      </c>
      <c r="N42" t="n">
        <v>0</v>
      </c>
      <c r="O42" t="n">
        <v>0</v>
      </c>
      <c r="P42" t="n">
        <v>0</v>
      </c>
      <c r="Q42" t="n">
        <v>0</v>
      </c>
      <c r="R42" s="2" t="inlineStr"/>
    </row>
    <row r="43" ht="15" customHeight="1">
      <c r="A43" t="inlineStr">
        <is>
          <t>A 39271-2023</t>
        </is>
      </c>
      <c r="B43" s="1" t="n">
        <v>45162</v>
      </c>
      <c r="C43" s="1" t="n">
        <v>46198</v>
      </c>
      <c r="D43" t="inlineStr">
        <is>
          <t>NORRBOTTENS LÄN</t>
        </is>
      </c>
      <c r="E43" t="inlineStr">
        <is>
          <t>KIRUNA</t>
        </is>
      </c>
      <c r="G43" t="n">
        <v>51.9</v>
      </c>
      <c r="H43" t="n">
        <v>0</v>
      </c>
      <c r="I43" t="n">
        <v>0</v>
      </c>
      <c r="J43" t="n">
        <v>0</v>
      </c>
      <c r="K43" t="n">
        <v>0</v>
      </c>
      <c r="L43" t="n">
        <v>0</v>
      </c>
      <c r="M43" t="n">
        <v>0</v>
      </c>
      <c r="N43" t="n">
        <v>0</v>
      </c>
      <c r="O43" t="n">
        <v>0</v>
      </c>
      <c r="P43" t="n">
        <v>0</v>
      </c>
      <c r="Q43" t="n">
        <v>0</v>
      </c>
      <c r="R43" s="2" t="inlineStr"/>
    </row>
    <row r="44" ht="15" customHeight="1">
      <c r="A44" t="inlineStr">
        <is>
          <t>A 18712-2025</t>
        </is>
      </c>
      <c r="B44" s="1" t="n">
        <v>45763</v>
      </c>
      <c r="C44" s="1" t="n">
        <v>46198</v>
      </c>
      <c r="D44" t="inlineStr">
        <is>
          <t>NORRBOTTENS LÄN</t>
        </is>
      </c>
      <c r="E44" t="inlineStr">
        <is>
          <t>KIRUNA</t>
        </is>
      </c>
      <c r="G44" t="n">
        <v>66.5</v>
      </c>
      <c r="H44" t="n">
        <v>0</v>
      </c>
      <c r="I44" t="n">
        <v>0</v>
      </c>
      <c r="J44" t="n">
        <v>0</v>
      </c>
      <c r="K44" t="n">
        <v>0</v>
      </c>
      <c r="L44" t="n">
        <v>0</v>
      </c>
      <c r="M44" t="n">
        <v>0</v>
      </c>
      <c r="N44" t="n">
        <v>0</v>
      </c>
      <c r="O44" t="n">
        <v>0</v>
      </c>
      <c r="P44" t="n">
        <v>0</v>
      </c>
      <c r="Q44" t="n">
        <v>0</v>
      </c>
      <c r="R44" s="2" t="inlineStr"/>
    </row>
    <row r="45" ht="15" customHeight="1">
      <c r="A45" t="inlineStr">
        <is>
          <t>A 56168-2023</t>
        </is>
      </c>
      <c r="B45" s="1" t="n">
        <v>45236</v>
      </c>
      <c r="C45" s="1" t="n">
        <v>46198</v>
      </c>
      <c r="D45" t="inlineStr">
        <is>
          <t>NORRBOTTENS LÄN</t>
        </is>
      </c>
      <c r="E45" t="inlineStr">
        <is>
          <t>KIRUNA</t>
        </is>
      </c>
      <c r="F45" t="inlineStr">
        <is>
          <t>Sveaskog</t>
        </is>
      </c>
      <c r="G45" t="n">
        <v>6.6</v>
      </c>
      <c r="H45" t="n">
        <v>0</v>
      </c>
      <c r="I45" t="n">
        <v>0</v>
      </c>
      <c r="J45" t="n">
        <v>0</v>
      </c>
      <c r="K45" t="n">
        <v>0</v>
      </c>
      <c r="L45" t="n">
        <v>0</v>
      </c>
      <c r="M45" t="n">
        <v>0</v>
      </c>
      <c r="N45" t="n">
        <v>0</v>
      </c>
      <c r="O45" t="n">
        <v>0</v>
      </c>
      <c r="P45" t="n">
        <v>0</v>
      </c>
      <c r="Q45" t="n">
        <v>0</v>
      </c>
      <c r="R45" s="2" t="inlineStr"/>
    </row>
    <row r="46" ht="15" customHeight="1">
      <c r="A46" t="inlineStr">
        <is>
          <t>A 50338-2025</t>
        </is>
      </c>
      <c r="B46" s="1" t="n">
        <v>45944</v>
      </c>
      <c r="C46" s="1" t="n">
        <v>46198</v>
      </c>
      <c r="D46" t="inlineStr">
        <is>
          <t>NORRBOTTENS LÄN</t>
        </is>
      </c>
      <c r="E46" t="inlineStr">
        <is>
          <t>KIRUNA</t>
        </is>
      </c>
      <c r="F46" t="inlineStr">
        <is>
          <t>SCA</t>
        </is>
      </c>
      <c r="G46" t="n">
        <v>22.6</v>
      </c>
      <c r="H46" t="n">
        <v>0</v>
      </c>
      <c r="I46" t="n">
        <v>0</v>
      </c>
      <c r="J46" t="n">
        <v>0</v>
      </c>
      <c r="K46" t="n">
        <v>0</v>
      </c>
      <c r="L46" t="n">
        <v>0</v>
      </c>
      <c r="M46" t="n">
        <v>0</v>
      </c>
      <c r="N46" t="n">
        <v>0</v>
      </c>
      <c r="O46" t="n">
        <v>0</v>
      </c>
      <c r="P46" t="n">
        <v>0</v>
      </c>
      <c r="Q46" t="n">
        <v>0</v>
      </c>
      <c r="R46" s="2" t="inlineStr"/>
    </row>
    <row r="47" ht="15" customHeight="1">
      <c r="A47" t="inlineStr">
        <is>
          <t>A 22494-2024</t>
        </is>
      </c>
      <c r="B47" s="1" t="n">
        <v>45447</v>
      </c>
      <c r="C47" s="1" t="n">
        <v>46198</v>
      </c>
      <c r="D47" t="inlineStr">
        <is>
          <t>NORRBOTTENS LÄN</t>
        </is>
      </c>
      <c r="E47" t="inlineStr">
        <is>
          <t>KIRUNA</t>
        </is>
      </c>
      <c r="G47" t="n">
        <v>6</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46198</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21184-2025</t>
        </is>
      </c>
      <c r="B49" s="1" t="n">
        <v>45777</v>
      </c>
      <c r="C49" s="1" t="n">
        <v>46198</v>
      </c>
      <c r="D49" t="inlineStr">
        <is>
          <t>NORRBOTTENS LÄN</t>
        </is>
      </c>
      <c r="E49" t="inlineStr">
        <is>
          <t>KIRUNA</t>
        </is>
      </c>
      <c r="G49" t="n">
        <v>20.1</v>
      </c>
      <c r="H49" t="n">
        <v>0</v>
      </c>
      <c r="I49" t="n">
        <v>0</v>
      </c>
      <c r="J49" t="n">
        <v>0</v>
      </c>
      <c r="K49" t="n">
        <v>0</v>
      </c>
      <c r="L49" t="n">
        <v>0</v>
      </c>
      <c r="M49" t="n">
        <v>0</v>
      </c>
      <c r="N49" t="n">
        <v>0</v>
      </c>
      <c r="O49" t="n">
        <v>0</v>
      </c>
      <c r="P49" t="n">
        <v>0</v>
      </c>
      <c r="Q49" t="n">
        <v>0</v>
      </c>
      <c r="R49" s="2" t="inlineStr"/>
    </row>
    <row r="50" ht="15" customHeight="1">
      <c r="A50" t="inlineStr">
        <is>
          <t>A 21268-2026</t>
        </is>
      </c>
      <c r="B50" s="1" t="n">
        <v>46147</v>
      </c>
      <c r="C50" s="1" t="n">
        <v>46198</v>
      </c>
      <c r="D50" t="inlineStr">
        <is>
          <t>NORRBOTTENS LÄN</t>
        </is>
      </c>
      <c r="E50" t="inlineStr">
        <is>
          <t>KIRUNA</t>
        </is>
      </c>
      <c r="G50" t="n">
        <v>35.7</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46198</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46198</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46198</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28533-2026</t>
        </is>
      </c>
      <c r="B54" s="1" t="n">
        <v>46197</v>
      </c>
      <c r="C54" s="1" t="n">
        <v>46198</v>
      </c>
      <c r="D54" t="inlineStr">
        <is>
          <t>NORRBOTTENS LÄN</t>
        </is>
      </c>
      <c r="E54" t="inlineStr">
        <is>
          <t>KIRUNA</t>
        </is>
      </c>
      <c r="G54" t="n">
        <v>54.2</v>
      </c>
      <c r="H54" t="n">
        <v>0</v>
      </c>
      <c r="I54" t="n">
        <v>0</v>
      </c>
      <c r="J54" t="n">
        <v>0</v>
      </c>
      <c r="K54" t="n">
        <v>0</v>
      </c>
      <c r="L54" t="n">
        <v>0</v>
      </c>
      <c r="M54" t="n">
        <v>0</v>
      </c>
      <c r="N54" t="n">
        <v>0</v>
      </c>
      <c r="O54" t="n">
        <v>0</v>
      </c>
      <c r="P54" t="n">
        <v>0</v>
      </c>
      <c r="Q54" t="n">
        <v>0</v>
      </c>
      <c r="R54" s="2" t="inlineStr"/>
    </row>
    <row r="55" ht="15" customHeight="1">
      <c r="A55" t="inlineStr">
        <is>
          <t>A 148-2026</t>
        </is>
      </c>
      <c r="B55" s="1" t="n">
        <v>46024</v>
      </c>
      <c r="C55" s="1" t="n">
        <v>46198</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9069-2023</t>
        </is>
      </c>
      <c r="B56" s="1" t="n">
        <v>44979</v>
      </c>
      <c r="C56" s="1" t="n">
        <v>46198</v>
      </c>
      <c r="D56" t="inlineStr">
        <is>
          <t>NORRBOTTENS LÄN</t>
        </is>
      </c>
      <c r="E56" t="inlineStr">
        <is>
          <t>KIRUNA</t>
        </is>
      </c>
      <c r="F56" t="inlineStr">
        <is>
          <t>SCA</t>
        </is>
      </c>
      <c r="G56" t="n">
        <v>4</v>
      </c>
      <c r="H56" t="n">
        <v>0</v>
      </c>
      <c r="I56" t="n">
        <v>0</v>
      </c>
      <c r="J56" t="n">
        <v>0</v>
      </c>
      <c r="K56" t="n">
        <v>0</v>
      </c>
      <c r="L56" t="n">
        <v>0</v>
      </c>
      <c r="M56" t="n">
        <v>0</v>
      </c>
      <c r="N56" t="n">
        <v>0</v>
      </c>
      <c r="O56" t="n">
        <v>0</v>
      </c>
      <c r="P56" t="n">
        <v>0</v>
      </c>
      <c r="Q56" t="n">
        <v>0</v>
      </c>
      <c r="R56" s="2" t="inlineStr"/>
    </row>
    <row r="57" ht="15" customHeight="1">
      <c r="A57" t="inlineStr">
        <is>
          <t>A 2664-2026</t>
        </is>
      </c>
      <c r="B57" s="1" t="n">
        <v>46037</v>
      </c>
      <c r="C57" s="1" t="n">
        <v>46198</v>
      </c>
      <c r="D57" t="inlineStr">
        <is>
          <t>NORRBOTTENS LÄN</t>
        </is>
      </c>
      <c r="E57" t="inlineStr">
        <is>
          <t>KIRUNA</t>
        </is>
      </c>
      <c r="G57" t="n">
        <v>31.3</v>
      </c>
      <c r="H57" t="n">
        <v>0</v>
      </c>
      <c r="I57" t="n">
        <v>0</v>
      </c>
      <c r="J57" t="n">
        <v>0</v>
      </c>
      <c r="K57" t="n">
        <v>0</v>
      </c>
      <c r="L57" t="n">
        <v>0</v>
      </c>
      <c r="M57" t="n">
        <v>0</v>
      </c>
      <c r="N57" t="n">
        <v>0</v>
      </c>
      <c r="O57" t="n">
        <v>0</v>
      </c>
      <c r="P57" t="n">
        <v>0</v>
      </c>
      <c r="Q57" t="n">
        <v>0</v>
      </c>
      <c r="R57" s="2" t="inlineStr"/>
    </row>
    <row r="58" ht="15" customHeight="1">
      <c r="A58" t="inlineStr">
        <is>
          <t>A 20558-2025</t>
        </is>
      </c>
      <c r="B58" s="1" t="n">
        <v>45775</v>
      </c>
      <c r="C58" s="1" t="n">
        <v>46198</v>
      </c>
      <c r="D58" t="inlineStr">
        <is>
          <t>NORRBOTTENS LÄN</t>
        </is>
      </c>
      <c r="E58" t="inlineStr">
        <is>
          <t>KIRUNA</t>
        </is>
      </c>
      <c r="G58" t="n">
        <v>23.3</v>
      </c>
      <c r="H58" t="n">
        <v>0</v>
      </c>
      <c r="I58" t="n">
        <v>0</v>
      </c>
      <c r="J58" t="n">
        <v>0</v>
      </c>
      <c r="K58" t="n">
        <v>0</v>
      </c>
      <c r="L58" t="n">
        <v>0</v>
      </c>
      <c r="M58" t="n">
        <v>0</v>
      </c>
      <c r="N58" t="n">
        <v>0</v>
      </c>
      <c r="O58" t="n">
        <v>0</v>
      </c>
      <c r="P58" t="n">
        <v>0</v>
      </c>
      <c r="Q58" t="n">
        <v>0</v>
      </c>
      <c r="R58" s="2" t="inlineStr"/>
    </row>
    <row r="59" ht="15" customHeight="1">
      <c r="A59" t="inlineStr">
        <is>
          <t>A 39006-2023</t>
        </is>
      </c>
      <c r="B59" s="1" t="n">
        <v>45162</v>
      </c>
      <c r="C59" s="1" t="n">
        <v>46198</v>
      </c>
      <c r="D59" t="inlineStr">
        <is>
          <t>NORRBOTTENS LÄN</t>
        </is>
      </c>
      <c r="E59" t="inlineStr">
        <is>
          <t>KIRUNA</t>
        </is>
      </c>
      <c r="G59" t="n">
        <v>1.6</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46198</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13405-2026</t>
        </is>
      </c>
      <c r="B61" s="1" t="n">
        <v>46094</v>
      </c>
      <c r="C61" s="1" t="n">
        <v>46198</v>
      </c>
      <c r="D61" t="inlineStr">
        <is>
          <t>NORRBOTTENS LÄN</t>
        </is>
      </c>
      <c r="E61" t="inlineStr">
        <is>
          <t>KIRUNA</t>
        </is>
      </c>
      <c r="G61" t="n">
        <v>24.5</v>
      </c>
      <c r="H61" t="n">
        <v>0</v>
      </c>
      <c r="I61" t="n">
        <v>0</v>
      </c>
      <c r="J61" t="n">
        <v>0</v>
      </c>
      <c r="K61" t="n">
        <v>0</v>
      </c>
      <c r="L61" t="n">
        <v>0</v>
      </c>
      <c r="M61" t="n">
        <v>0</v>
      </c>
      <c r="N61" t="n">
        <v>0</v>
      </c>
      <c r="O61" t="n">
        <v>0</v>
      </c>
      <c r="P61" t="n">
        <v>0</v>
      </c>
      <c r="Q61" t="n">
        <v>0</v>
      </c>
      <c r="R61" s="2" t="inlineStr"/>
    </row>
    <row r="62" ht="15" customHeight="1">
      <c r="A62" t="inlineStr">
        <is>
          <t>A 18737-2023</t>
        </is>
      </c>
      <c r="B62" s="1" t="n">
        <v>45042</v>
      </c>
      <c r="C62" s="1" t="n">
        <v>46198</v>
      </c>
      <c r="D62" t="inlineStr">
        <is>
          <t>NORRBOTTENS LÄN</t>
        </is>
      </c>
      <c r="E62" t="inlineStr">
        <is>
          <t>KIRUNA</t>
        </is>
      </c>
      <c r="F62" t="inlineStr">
        <is>
          <t>Sveaskog</t>
        </is>
      </c>
      <c r="G62" t="n">
        <v>10.7</v>
      </c>
      <c r="H62" t="n">
        <v>0</v>
      </c>
      <c r="I62" t="n">
        <v>0</v>
      </c>
      <c r="J62" t="n">
        <v>0</v>
      </c>
      <c r="K62" t="n">
        <v>0</v>
      </c>
      <c r="L62" t="n">
        <v>0</v>
      </c>
      <c r="M62" t="n">
        <v>0</v>
      </c>
      <c r="N62" t="n">
        <v>0</v>
      </c>
      <c r="O62" t="n">
        <v>0</v>
      </c>
      <c r="P62" t="n">
        <v>0</v>
      </c>
      <c r="Q62" t="n">
        <v>0</v>
      </c>
      <c r="R62" s="2" t="inlineStr"/>
    </row>
    <row r="63" ht="15" customHeight="1">
      <c r="A63" t="inlineStr">
        <is>
          <t>A 16197-2026</t>
        </is>
      </c>
      <c r="B63" s="1" t="n">
        <v>46108</v>
      </c>
      <c r="C63" s="1" t="n">
        <v>46198</v>
      </c>
      <c r="D63" t="inlineStr">
        <is>
          <t>NORRBOTTENS LÄN</t>
        </is>
      </c>
      <c r="E63" t="inlineStr">
        <is>
          <t>KIRUNA</t>
        </is>
      </c>
      <c r="F63" t="inlineStr">
        <is>
          <t>Övriga statliga verk och myndigheter</t>
        </is>
      </c>
      <c r="G63" t="n">
        <v>1.7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46198</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22504-2024</t>
        </is>
      </c>
      <c r="B65" s="1" t="n">
        <v>45447</v>
      </c>
      <c r="C65" s="1" t="n">
        <v>46198</v>
      </c>
      <c r="D65" t="inlineStr">
        <is>
          <t>NORRBOTTENS LÄN</t>
        </is>
      </c>
      <c r="E65" t="inlineStr">
        <is>
          <t>KIRUNA</t>
        </is>
      </c>
      <c r="G65" t="n">
        <v>15.6</v>
      </c>
      <c r="H65" t="n">
        <v>0</v>
      </c>
      <c r="I65" t="n">
        <v>0</v>
      </c>
      <c r="J65" t="n">
        <v>0</v>
      </c>
      <c r="K65" t="n">
        <v>0</v>
      </c>
      <c r="L65" t="n">
        <v>0</v>
      </c>
      <c r="M65" t="n">
        <v>0</v>
      </c>
      <c r="N65" t="n">
        <v>0</v>
      </c>
      <c r="O65" t="n">
        <v>0</v>
      </c>
      <c r="P65" t="n">
        <v>0</v>
      </c>
      <c r="Q65" t="n">
        <v>0</v>
      </c>
      <c r="R65" s="2" t="inlineStr"/>
    </row>
    <row r="66" ht="15" customHeight="1">
      <c r="A66" t="inlineStr">
        <is>
          <t>A 18388-2026</t>
        </is>
      </c>
      <c r="B66" s="1" t="n">
        <v>46126</v>
      </c>
      <c r="C66" s="1" t="n">
        <v>46198</v>
      </c>
      <c r="D66" t="inlineStr">
        <is>
          <t>NORRBOTTENS LÄN</t>
        </is>
      </c>
      <c r="E66" t="inlineStr">
        <is>
          <t>KIRUNA</t>
        </is>
      </c>
      <c r="G66" t="n">
        <v>5.2</v>
      </c>
      <c r="H66" t="n">
        <v>0</v>
      </c>
      <c r="I66" t="n">
        <v>0</v>
      </c>
      <c r="J66" t="n">
        <v>0</v>
      </c>
      <c r="K66" t="n">
        <v>0</v>
      </c>
      <c r="L66" t="n">
        <v>0</v>
      </c>
      <c r="M66" t="n">
        <v>0</v>
      </c>
      <c r="N66" t="n">
        <v>0</v>
      </c>
      <c r="O66" t="n">
        <v>0</v>
      </c>
      <c r="P66" t="n">
        <v>0</v>
      </c>
      <c r="Q66" t="n">
        <v>0</v>
      </c>
      <c r="R66" s="2" t="inlineStr"/>
    </row>
    <row r="67" ht="15" customHeight="1">
      <c r="A67" t="inlineStr">
        <is>
          <t>A 12937-2026</t>
        </is>
      </c>
      <c r="B67" s="1" t="n">
        <v>46092</v>
      </c>
      <c r="C67" s="1" t="n">
        <v>46198</v>
      </c>
      <c r="D67" t="inlineStr">
        <is>
          <t>NORRBOTTENS LÄN</t>
        </is>
      </c>
      <c r="E67" t="inlineStr">
        <is>
          <t>KIRUNA</t>
        </is>
      </c>
      <c r="G67" t="n">
        <v>37.2</v>
      </c>
      <c r="H67" t="n">
        <v>0</v>
      </c>
      <c r="I67" t="n">
        <v>0</v>
      </c>
      <c r="J67" t="n">
        <v>0</v>
      </c>
      <c r="K67" t="n">
        <v>0</v>
      </c>
      <c r="L67" t="n">
        <v>0</v>
      </c>
      <c r="M67" t="n">
        <v>0</v>
      </c>
      <c r="N67" t="n">
        <v>0</v>
      </c>
      <c r="O67" t="n">
        <v>0</v>
      </c>
      <c r="P67" t="n">
        <v>0</v>
      </c>
      <c r="Q67" t="n">
        <v>0</v>
      </c>
      <c r="R67" s="2" t="inlineStr"/>
    </row>
    <row r="68" ht="15" customHeight="1">
      <c r="A68" t="inlineStr">
        <is>
          <t>A 12969-2026</t>
        </is>
      </c>
      <c r="B68" s="1" t="n">
        <v>46092</v>
      </c>
      <c r="C68" s="1" t="n">
        <v>46198</v>
      </c>
      <c r="D68" t="inlineStr">
        <is>
          <t>NORRBOTTENS LÄN</t>
        </is>
      </c>
      <c r="E68" t="inlineStr">
        <is>
          <t>KIRUNA</t>
        </is>
      </c>
      <c r="G68" t="n">
        <v>5</v>
      </c>
      <c r="H68" t="n">
        <v>0</v>
      </c>
      <c r="I68" t="n">
        <v>0</v>
      </c>
      <c r="J68" t="n">
        <v>0</v>
      </c>
      <c r="K68" t="n">
        <v>0</v>
      </c>
      <c r="L68" t="n">
        <v>0</v>
      </c>
      <c r="M68" t="n">
        <v>0</v>
      </c>
      <c r="N68" t="n">
        <v>0</v>
      </c>
      <c r="O68" t="n">
        <v>0</v>
      </c>
      <c r="P68" t="n">
        <v>0</v>
      </c>
      <c r="Q68" t="n">
        <v>0</v>
      </c>
      <c r="R68" s="2" t="inlineStr"/>
    </row>
    <row r="69" ht="15" customHeight="1">
      <c r="A69" t="inlineStr">
        <is>
          <t>A 12984-2026</t>
        </is>
      </c>
      <c r="B69" s="1" t="n">
        <v>46092</v>
      </c>
      <c r="C69" s="1" t="n">
        <v>46198</v>
      </c>
      <c r="D69" t="inlineStr">
        <is>
          <t>NORRBOTTENS LÄN</t>
        </is>
      </c>
      <c r="E69" t="inlineStr">
        <is>
          <t>KIRUNA</t>
        </is>
      </c>
      <c r="G69" t="n">
        <v>18.2</v>
      </c>
      <c r="H69" t="n">
        <v>0</v>
      </c>
      <c r="I69" t="n">
        <v>0</v>
      </c>
      <c r="J69" t="n">
        <v>0</v>
      </c>
      <c r="K69" t="n">
        <v>0</v>
      </c>
      <c r="L69" t="n">
        <v>0</v>
      </c>
      <c r="M69" t="n">
        <v>0</v>
      </c>
      <c r="N69" t="n">
        <v>0</v>
      </c>
      <c r="O69" t="n">
        <v>0</v>
      </c>
      <c r="P69" t="n">
        <v>0</v>
      </c>
      <c r="Q69" t="n">
        <v>0</v>
      </c>
      <c r="R69" s="2" t="inlineStr"/>
    </row>
    <row r="70" ht="15" customHeight="1">
      <c r="A70" t="inlineStr">
        <is>
          <t>A 62452-2022</t>
        </is>
      </c>
      <c r="B70" s="1" t="n">
        <v>44916</v>
      </c>
      <c r="C70" s="1" t="n">
        <v>46198</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46198</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46198</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46198</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46198</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46198</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46198</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46198</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46198</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46198</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20770-2025</t>
        </is>
      </c>
      <c r="B80" s="1" t="n">
        <v>45776</v>
      </c>
      <c r="C80" s="1" t="n">
        <v>46198</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50590-2023</t>
        </is>
      </c>
      <c r="B81" s="1" t="n">
        <v>45217</v>
      </c>
      <c r="C81" s="1" t="n">
        <v>46198</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ht="15" customHeight="1">
      <c r="A82" t="inlineStr">
        <is>
          <t>A 33183-2025</t>
        </is>
      </c>
      <c r="B82" s="1" t="n">
        <v>45840</v>
      </c>
      <c r="C82" s="1" t="n">
        <v>46198</v>
      </c>
      <c r="D82" t="inlineStr">
        <is>
          <t>NORRBOTTENS LÄN</t>
        </is>
      </c>
      <c r="E82" t="inlineStr">
        <is>
          <t>KIRUNA</t>
        </is>
      </c>
      <c r="G82" t="n">
        <v>2.8</v>
      </c>
      <c r="H82" t="n">
        <v>0</v>
      </c>
      <c r="I82" t="n">
        <v>0</v>
      </c>
      <c r="J82" t="n">
        <v>0</v>
      </c>
      <c r="K82" t="n">
        <v>0</v>
      </c>
      <c r="L82" t="n">
        <v>0</v>
      </c>
      <c r="M82" t="n">
        <v>0</v>
      </c>
      <c r="N82" t="n">
        <v>0</v>
      </c>
      <c r="O82" t="n">
        <v>0</v>
      </c>
      <c r="P82" t="n">
        <v>0</v>
      </c>
      <c r="Q82" t="n">
        <v>0</v>
      </c>
      <c r="R82" s="2" t="inlineStr"/>
    </row>
    <row r="83" ht="15" customHeight="1">
      <c r="A83" t="inlineStr">
        <is>
          <t>A 34663-2025</t>
        </is>
      </c>
      <c r="B83" s="1" t="n">
        <v>45848</v>
      </c>
      <c r="C83" s="1" t="n">
        <v>46198</v>
      </c>
      <c r="D83" t="inlineStr">
        <is>
          <t>NORRBOTTENS LÄN</t>
        </is>
      </c>
      <c r="E83" t="inlineStr">
        <is>
          <t>KIRUNA</t>
        </is>
      </c>
      <c r="G83" t="n">
        <v>5.1</v>
      </c>
      <c r="H83" t="n">
        <v>0</v>
      </c>
      <c r="I83" t="n">
        <v>0</v>
      </c>
      <c r="J83" t="n">
        <v>0</v>
      </c>
      <c r="K83" t="n">
        <v>0</v>
      </c>
      <c r="L83" t="n">
        <v>0</v>
      </c>
      <c r="M83" t="n">
        <v>0</v>
      </c>
      <c r="N83" t="n">
        <v>0</v>
      </c>
      <c r="O83" t="n">
        <v>0</v>
      </c>
      <c r="P83" t="n">
        <v>0</v>
      </c>
      <c r="Q83" t="n">
        <v>0</v>
      </c>
      <c r="R83" s="2" t="inlineStr"/>
    </row>
    <row r="84">
      <c r="A84" t="inlineStr">
        <is>
          <t>A 34664-2025</t>
        </is>
      </c>
      <c r="B84" s="1" t="n">
        <v>45848</v>
      </c>
      <c r="C84" s="1" t="n">
        <v>46198</v>
      </c>
      <c r="D84" t="inlineStr">
        <is>
          <t>NORRBOTTENS LÄN</t>
        </is>
      </c>
      <c r="E84" t="inlineStr">
        <is>
          <t>KIRUNA</t>
        </is>
      </c>
      <c r="G84" t="n">
        <v>8.4</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2026-06-25T00:46:27Z</dcterms:created>
  <dcterms:modified xmlns:dcterms="http://purl.org/dc/terms/" xmlns:xsi="http://www.w3.org/2001/XMLSchema-instance" xsi:type="dcterms:W3CDTF">2026-06-25T00:46:27Z</dcterms:modified>
</cp:coreProperties>
</file>